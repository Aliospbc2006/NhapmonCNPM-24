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_Backlog" state="visible" r:id="rId4"/>
    <sheet sheetId="2" name="Traceability" state="visible" r:id="rId5"/>
    <sheet sheetId="4" name="Sprint_1" state="visible" r:id="rId6"/>
    <sheet sheetId="5" name="Sprint_2" state="visible" r:id="rId7"/>
    <sheet sheetId="6" name="Sprint_3" state="visible" r:id="rId8"/>
    <sheet sheetId="7" name="Workload_Summary" state="visible" r:id="rId9"/>
    <sheet sheetId="3" name="Legend" state="visible" r:id="rId10"/>
  </sheets>
  <calcPr calcId="171027"/>
</workbook>
</file>

<file path=xl/sharedStrings.xml><?xml version="1.0" encoding="utf-8"?>
<sst xmlns="http://schemas.openxmlformats.org/spreadsheetml/2006/main" count="2826" uniqueCount="1122">
  <si>
    <t>Product Backlog — BlueMoon v1.0</t>
  </si>
  <si>
    <t>Backlog được suy ra từ 05_Epic_UserStory.xlsx. Story Point là ước lượng ban đầu của nhóm phân tích, không phải kết quả Planning Poker. Planned Sprint lấy từ kế hoạch Sprint 1-3; các story Unplanned ở lại Product Backlog.</t>
  </si>
  <si>
    <t>Order</t>
  </si>
  <si>
    <t>US ID</t>
  </si>
  <si>
    <t>User Story</t>
  </si>
  <si>
    <t>Epic ID</t>
  </si>
  <si>
    <t>Epic Name</t>
  </si>
  <si>
    <t>Feature ID</t>
  </si>
  <si>
    <t>Feature Name</t>
  </si>
  <si>
    <t>Business Value</t>
  </si>
  <si>
    <t>MoSCoW</t>
  </si>
  <si>
    <t>Priority</t>
  </si>
  <si>
    <t>Story Points</t>
  </si>
  <si>
    <t>Dependencies</t>
  </si>
  <si>
    <t>Planned Sprint</t>
  </si>
  <si>
    <t>Status</t>
  </si>
  <si>
    <t>Source RAW ID</t>
  </si>
  <si>
    <t>Notes</t>
  </si>
  <si>
    <t>US-01</t>
  </si>
  <si>
    <t>Là một người dùng hệ thống, tôi muốn đăng nhập bằng tài khoản đã được cấp, để chỉ người được phép mới vào được các chức năng quản lý.</t>
  </si>
  <si>
    <t>EPIC-01</t>
  </si>
  <si>
    <t>Quản lý tài khoản và truy cập</t>
  </si>
  <si>
    <t>FEAT-01-01</t>
  </si>
  <si>
    <t>Bảo mật đăng nhập và xác thực</t>
  </si>
  <si>
    <t>Chỉ người được phép mới vào được các chức năng quản lý</t>
  </si>
  <si>
    <t>Must</t>
  </si>
  <si>
    <t>High</t>
  </si>
  <si>
    <t>None</t>
  </si>
  <si>
    <t>Sprint 1</t>
  </si>
  <si>
    <t>Sprint Backlog</t>
  </si>
  <si>
    <t>RAW-001</t>
  </si>
  <si>
    <t xml:space="preserve">Lý do Must: Là cửa vào của hệ thống; mọi chức năng khác đều cần đến nó (RAW-001; hạng mục phạm vi v1.0).
Tự đăng ký không thuộc v1.0 (OQ-01).
Story Point: ước lượng ban đầu của nhóm phân tích, nhóm sẽ ước lượng lại.
Kế hoạch Sprint (Sprint 1): Là cửa vào; mọi story khác đều cần người dùng đã đăng nhập.</t>
  </si>
  <si>
    <t xml:space="preserve">US-02
(Technical Story)</t>
  </si>
  <si>
    <t>Là một thành viên Ban quản trị, tôi muốn thông tin đăng nhập được bảo vệ, không bị lộ và không bị dò đoán liên tục, để không ai đoán được mật khẩu hay đọc thẳng cơ sở dữ liệu để lấy dữ liệu tài chính và dữ liệu cá nhân.</t>
  </si>
  <si>
    <t>Không ai đoán được mật khẩu hay đọc thẳng cơ sở dữ liệu để lấy dữ liệu tài chính và dữ liệu cá nhân</t>
  </si>
  <si>
    <t>RAW-022</t>
  </si>
  <si>
    <t xml:space="preserve">Lý do Must: Là lớp bảo vệ nền tảng cho dữ liệu tài chính và cá nhân; việc băm mật khẩu phải có trước khi lưu bất kỳ dữ liệu thật nào.
Giới hạn khóa N = 5 và thời gian khóa là mục tiêu đề xuất, chưa chốt (NFR-001.3). Technical Story.
Story Point: ước lượng ban đầu của nhóm phân tích, nhóm sẽ ước lượng lại.
Kế hoạch Sprint (Sprint 1): Mật khẩu phải được băm trước khi có tài khoản nào ngoài tài khoản nạp sẵn; dựa trên US-01.</t>
  </si>
  <si>
    <t>US-03</t>
  </si>
  <si>
    <t>Là một người dùng hệ thống, tôi muốn đổi mật khẩu của chính mình, để thay được mật khẩu ban đầu hoặc mật khẩu đã bị lộ mà không cần nhờ ai khác.</t>
  </si>
  <si>
    <t>FEAT-01-02</t>
  </si>
  <si>
    <t>Tự phục vụ tài khoản</t>
  </si>
  <si>
    <t>Thay được mật khẩu ban đầu hoặc mật khẩu đã bị lộ mà không cần nhờ ai khác</t>
  </si>
  <si>
    <t>RAW-002</t>
  </si>
  <si>
    <t xml:space="preserve">Lý do Must: Là hạng mục phạm vi v1.0 được nêu rõ (đổi mật khẩu).
Quy tắc mật khẩu (đề xuất: tối thiểu 8 ký tự) chưa chốt. Là story tham chiếu cho thang ước lượng (2 điểm).
Story Point: ước lượng ban đầu của nhóm phân tích, nhóm sẽ ước lượng lại.
Kế hoạch Sprint (Sprint 1): Là hạng mục phạm vi v1.0 được nêu rõ; nhỏ và chỉ cần US-01.</t>
  </si>
  <si>
    <t>US-06</t>
  </si>
  <si>
    <t>Là một thành viên Ban quản trị, tôi muốn thêm hộ gia đình mới với số căn hộ, chủ hộ, diện tích căn hộ và thông tin liên hệ, để hộ đó được tính phí đúng theo diện tích.</t>
  </si>
  <si>
    <t>EPIC-02</t>
  </si>
  <si>
    <t>Quản lý hộ gia đình</t>
  </si>
  <si>
    <t>FEAT-02-01</t>
  </si>
  <si>
    <t>Đăng ký hộ gia đình</t>
  </si>
  <si>
    <t>Hộ gia đình được tính phí đúng theo diện tích</t>
  </si>
  <si>
    <t>RAW-003</t>
  </si>
  <si>
    <t xml:space="preserve">Lý do Must: Hộ gia đình và diện tích là dữ liệu nền để tính khoản thu; là gốc của hầu hết các story sau.
Việc nhập dữ liệu ban đầu từ Excel nằm ngoài dự án (AS-08, OQ-12).
Story Point: ước lượng ban đầu của nhóm phân tích, nhóm sẽ ước lượng lại.
Kế hoạch Sprint (Sprint 1): Là gốc của dữ liệu hộ; khoản thu, khoản phải thu và tìm kiếm đều phụ thuộc vào nó.</t>
  </si>
  <si>
    <t>US-07</t>
  </si>
  <si>
    <t>Là một thành viên Ban quản trị, tôi muốn xem chi tiết một hộ gia đình cùng danh sách nhân khẩu của hộ, để xem được ai đang ở trong căn hộ và các thông tin tính phí của hộ ở cùng một chỗ.</t>
  </si>
  <si>
    <t>FEAT-02-02</t>
  </si>
  <si>
    <t>Xem và cập nhật hộ gia đình</t>
  </si>
  <si>
    <t>Xem được ai đang ở trong căn hộ và các thông tin tính phí của hộ ở cùng một chỗ</t>
  </si>
  <si>
    <t>RAW-004</t>
  </si>
  <si>
    <t xml:space="preserve">Lý do Must: Chức năng cốt lõi của v1.0: nhân sự phải thấy một hộ và nhân khẩu của hộ ở cùng một nơi.
Hoạt động được với danh sách nhân khẩu trống; nhân khẩu đến từ US-10.
Story Point: ước lượng ban đầu của nhóm phân tích, nhóm sẽ ước lượng lại.
Kế hoạch Sprint (Sprint 1): Cần dữ liệu hộ gia đình và nhân khẩu được tạo trong sprint này.</t>
  </si>
  <si>
    <t>US-08</t>
  </si>
  <si>
    <t>Là một thành viên Ban quản trị, tôi muốn sửa diện tích, chủ hộ hoặc thông tin liên hệ của một hộ gia đình, để khoản thu được tính trên dữ liệu đúng và sai sót sửa được.</t>
  </si>
  <si>
    <t>Khoản thu được tính trên dữ liệu đúng và sai sót sửa được</t>
  </si>
  <si>
    <t xml:space="preserve">Lý do Must: Diện tích sai dẫn đến khoản thu sai (PP-03); sửa dữ liệu là nhu cầu cốt lõi về chất lượng dữ liệu.
Ảnh hưởng đến các khoản phải thu đã sinh là chính sách đề xuất, chưa chốt (OQ-14).
Story Point: ước lượng ban đầu của nhóm phân tích, nhóm sẽ ước lượng lại.
Kế hoạch Sprint (Sprint 1): Sửa diện tích sớm giúp tránh khoản phải thu sai ở Sprint 2.</t>
  </si>
  <si>
    <t>US-10</t>
  </si>
  <si>
    <t>Là một thành viên Ban quản trị, tôi muốn thêm một nhân khẩu vào hộ gia đình với họ tên, ngày sinh, giới tính, quan hệ với chủ hộ và số giấy tờ tùy thân nếu có, để danh sách nhân khẩu của hộ đầy đủ, dùng được ngay khi cần báo cáo.</t>
  </si>
  <si>
    <t>EPIC-03</t>
  </si>
  <si>
    <t>Quản lý nhân khẩu</t>
  </si>
  <si>
    <t>FEAT-03-01</t>
  </si>
  <si>
    <t>Hồ sơ nhân khẩu</t>
  </si>
  <si>
    <t>Danh sách nhân khẩu của hộ đầy đủ, dùng được ngay khi cần báo cáo</t>
  </si>
  <si>
    <t>RAW-006</t>
  </si>
  <si>
    <t xml:space="preserve">Lý do Must: Quản lý nhân khẩu là hạng mục phạm vi v1.0 và là yêu cầu nêu rõ trong đề bài.
Số giấy tờ tùy thân là tùy chọn (OQ-08).
Story Point: ước lượng ban đầu của nhóm phân tích, nhóm sẽ ước lượng lại.
Kế hoạch Sprint (Sprint 1): Dữ liệu nhân khẩu dựa trên hộ gia đình; biến động và tạm trú cần nó.</t>
  </si>
  <si>
    <t>US-11</t>
  </si>
  <si>
    <t>Là một thành viên Ban quản trị, tôi muốn cập nhật thông tin của một nhân khẩu, để hồ sơ nhân khẩu luôn đúng và người đã rời đi không bị xóa khỏi hệ thống.</t>
  </si>
  <si>
    <t>Hồ sơ nhân khẩu luôn đúng và người đã rời đi không bị xóa khỏi hệ thống</t>
  </si>
  <si>
    <t xml:space="preserve">Lý do Must: Cần để giữ hồ sơ nhân khẩu đúng; cùng hạng mục phạm vi với US-10.
Không xóa cứng; việc rời đi được ghi bằng một biến động (US-12).
Story Point: ước lượng ban đầu của nhóm phân tích, nhóm sẽ ước lượng lại.
Kế hoạch Sprint (Sprint 1): Cùng dữ liệu với US-10; hoàn thiện việc cập nhật nhân khẩu.</t>
  </si>
  <si>
    <t>US-12</t>
  </si>
  <si>
    <t>Là một thành viên Ban quản trị, tôi muốn ghi nhận nhân khẩu chuyển đến, chuyển đi, sinh hoặc mất kèm ngày và lý do, để danh sách nhân khẩu từng hộ và tổng số nhân khẩu đúng với thực tế ở ngày cần xem.</t>
  </si>
  <si>
    <t>FEAT-03-02</t>
  </si>
  <si>
    <t>Biến động nhân khẩu</t>
  </si>
  <si>
    <t>Danh sách nhân khẩu từng hộ và tổng số nhân khẩu đúng với thực tế ở ngày cần xem</t>
  </si>
  <si>
    <t>RAW-007</t>
  </si>
  <si>
    <t xml:space="preserve">Lý do Must: Biến động nhân khẩu được nêu trong đề bài và quyết định trạng thái nhân khẩu theo ngày.
Các loại biến động là danh sách đề xuất (OQ-13). Logic theo ngày hiệu lực là phần việc chính.
Story Point: ước lượng ban đầu của nhóm phân tích, nhóm sẽ ước lượng lại.
Kế hoạch Sprint (Sprint 1): Là story lớn nhất của Sprint 1; bắt đầu sớm để có thời gian rà soát và sửa lỗi.</t>
  </si>
  <si>
    <t>US-14</t>
  </si>
  <si>
    <t>Là một thành viên Ban quản trị, tôi muốn ghi nhận tạm trú hoặc tạm vắng của một nhân khẩu kèm ngày bắt đầu, ngày kết thúc và lý do, để biết rõ tình trạng cư trú của từng người và phát hiện được các trường hợp đã hết hạn.</t>
  </si>
  <si>
    <t>FEAT-03-03</t>
  </si>
  <si>
    <t>Tạm trú và tạm vắng</t>
  </si>
  <si>
    <t>Biết rõ tình trạng cư trú của từng người và phát hiện được các trường hợp đã hết hạn</t>
  </si>
  <si>
    <t>RAW-008</t>
  </si>
  <si>
    <t xml:space="preserve">Lý do Must: Tạm trú và tạm vắng được nêu trong đề bài (RAW-008).
Các biểu mẫu pháp lý nằm ngoài phạm vi (OQ-07).
Story Point: ước lượng ban đầu của nhóm phân tích, nhóm sẽ ước lượng lại.
Kế hoạch Sprint (Sprint 1): Hoàn thiện phần quản lý nhân khẩu được nêu trong đề bài.</t>
  </si>
  <si>
    <t>US-16</t>
  </si>
  <si>
    <t>Là một thành viên Ban quản trị, tôi muốn tạo một khoản thu với tên, loại (bắt buộc hoặc tự nguyện), kỳ thu hoặc đợt thu, đơn giá hoặc số tiền, và hạn nộp, để các khoản tiền hộ phải đóng hoặc có thể đóng chỉ cần khai báo một lần trong hệ thống.</t>
  </si>
  <si>
    <t>EPIC-04</t>
  </si>
  <si>
    <t>Quản lý khoản thu</t>
  </si>
  <si>
    <t>FEAT-04-01</t>
  </si>
  <si>
    <t>Định nghĩa khoản thu</t>
  </si>
  <si>
    <t>Các khoản tiền hộ phải đóng hoặc có thể đóng chỉ cần khai báo một lần trong hệ thống</t>
  </si>
  <si>
    <t>Sprint 2</t>
  </si>
  <si>
    <t>RAW-010</t>
  </si>
  <si>
    <t xml:space="preserve">Lý do Must: Quản lý khoản thu là hạng mục phạm vi v1.0; không thể bắt đầu thu phí khi chưa có khoản thu được định nghĩa.
Miễn giảm và đơn giá riêng cho kiot hoặc penthouse không thuộc v1.0 (OQ-02, OQ-03).
Story Point: ước lượng ban đầu của nhóm phân tích, nhóm sẽ ước lượng lại.
Kế hoạch Sprint (Sprint 2): Khoản thu phải có trước khi sinh khoản phải thu hay ghi nhận thanh toán. Không phụ thuộc Sprint 1 ngoài đăng nhập.</t>
  </si>
  <si>
    <t>US-17</t>
  </si>
  <si>
    <t>Là một thành viên Ban quản trị, tôi muốn thay đổi đơn giá hoặc hạn nộp của một khoản thu và ngừng áp dụng một khoản thu, để khoản thu cập nhật theo quyết định của Ban và thay đổi đơn giá, mà hồ sơ cũ vẫn còn.</t>
  </si>
  <si>
    <t>Khoản thu cập nhật theo quyết định của Ban và thay đổi đơn giá, mà hồ sơ cũ vẫn còn</t>
  </si>
  <si>
    <t xml:space="preserve">Lý do Must: Đơn giá do Ban quản trị quyết định và có thay đổi; đơn giá sai phải sửa được mà không mất lịch sử.
Đơn giá không được ghi đè lên các khoản phải thu trong quá khứ (AC-US17-01).
Story Point: ước lượng ban đầu của nhóm phân tích, nhóm sẽ ước lượng lại.
Kế hoạch Sprint (Sprint 2): Việc lưu phiên bản đơn giá phải có trước khi sinh khoản phải thu.</t>
  </si>
  <si>
    <t>US-19</t>
  </si>
  <si>
    <t>Là một thành viên Ban quản trị, tôi muốn sinh số tiền mỗi hộ phải đóng cho một kỳ thu, tính từ diện tích căn hộ và đơn giá, để không phải tính phí bằng tay và tránh được sai sót khi tính.</t>
  </si>
  <si>
    <t>FEAT-04-02</t>
  </si>
  <si>
    <t>Khoản phải thu của hộ gia đình</t>
  </si>
  <si>
    <t>Không phải tính phí bằng tay và tránh được sai sót khi tính</t>
  </si>
  <si>
    <t>US-06, US-16</t>
  </si>
  <si>
    <t>RAW-011</t>
  </si>
  <si>
    <t xml:space="preserve">Lý do Must: Loại bỏ phép tính diện tích × đơn giá bằng tay (PP-03); bắt buộc có trước khi ghi nhận bất kỳ thanh toán nào.
Quy tắc làm tròn VND chưa chốt. Bao gồm chống sinh trùng và cảnh báo diện tích không hợp lệ.
Story Point: ước lượng ban đầu của nhóm phân tích, nhóm sẽ ước lượng lại.
Kế hoạch Sprint (Sprint 2): Cần hộ gia đình (Sprint 1) và khoản thu; thanh toán cần khoản phải thu.</t>
  </si>
  <si>
    <t>US-22</t>
  </si>
  <si>
    <t>Là một thủ quỹ, tôi muốn ghi nhận thanh toán của một hộ gia đình cho một khoản thu kèm số tiền, ngày nộp và hình thức thanh toán, để có bản ghi thanh toán chính xác và trạng thái đóng phí luôn được cập nhật.</t>
  </si>
  <si>
    <t>EPIC-05</t>
  </si>
  <si>
    <t>Thu phí</t>
  </si>
  <si>
    <t>FEAT-05-01</t>
  </si>
  <si>
    <t>Ghi nhận thanh toán</t>
  </si>
  <si>
    <t>Có bản ghi thanh toán chính xác và trạng thái đóng phí luôn được cập nhật</t>
  </si>
  <si>
    <t>RAW-013</t>
  </si>
  <si>
    <t xml:space="preserve">Lý do Must: Là luồng nghiệp vụ trung tâm của sản phẩm (thu phí); trạng thái đóng phí phụ thuộc vào nó.
Hình thức thanh toán chỉ là nhãn được ghi lại (AS-12, OQ-09). Chứa mục tiêu 5 bước về tính dễ dùng (NFR-007.4).
Story Point: ước lượng ban đầu của nhóm phân tích, nhóm sẽ ước lượng lại.
Kế hoạch Sprint (Sprint 2): Là luồng nghiệp vụ trung tâm; cần khoản phải thu.</t>
  </si>
  <si>
    <t>US-23</t>
  </si>
  <si>
    <t>Là một thủ quỹ, tôi muốn ghi nhận một thanh toán nhỏ hơn số tiền phải đóng và ghi nhận phần còn lại sau, để theo dõi đúng các hộ đóng làm nhiều lần và luôn thấy khoản còn nợ.</t>
  </si>
  <si>
    <t>Theo dõi đúng các hộ đóng làm nhiều lần và luôn thấy khoản còn nợ</t>
  </si>
  <si>
    <t xml:space="preserve">Lý do Must: Đóng thiếu là trường hợp có thật mà trạng thái đóng phí phải xử lý được; thiếu nó thì không theo dõi được nợ.
Quy tắc nộp thừa và nộp trước chưa chốt (OQ-05).
Story Point: ước lượng ban đầu của nhóm phân tích, nhóm sẽ ước lượng lại.
Kế hoạch Sprint (Sprint 2): Dựa trên US-22; đóng thiếu là trường hợp có thật.</t>
  </si>
  <si>
    <t>US-21</t>
  </si>
  <si>
    <t>Là một thành viên Ban quản trị, tôi muốn tổ chức một đợt đóng góp tự nguyện trong đó mỗi hộ tự chọn số tiền của mình, để hộ nào không đóng góp thì không bị tính là còn nợ.</t>
  </si>
  <si>
    <t>FEAT-04-03</t>
  </si>
  <si>
    <t>Đóng góp tự nguyện</t>
  </si>
  <si>
    <t>Hộ nào không đóng góp thì không bị tính là còn nợ</t>
  </si>
  <si>
    <t>US-16, US-22</t>
  </si>
  <si>
    <t>RAW-012</t>
  </si>
  <si>
    <t xml:space="preserve">Lý do Must: Đóng góp tự nguyện được nêu trong đề bài và không được hiển thị như khoản nợ (AS-19).
Phụ thuộc US-22 vì khoản đóng góp được nhập qua chức năng ghi nhận thanh toán.
Story Point: ước lượng ban đầu của nhóm phân tích, nhóm sẽ ước lượng lại.
Kế hoạch Sprint (Sprint 2): Cần khoản thu và luồng ghi nhận thanh toán.</t>
  </si>
  <si>
    <t>US-27</t>
  </si>
  <si>
    <t>Là một thủ quỹ, tôi muốn tìm một hộ gia đình theo số căn hộ hoặc tên chủ hộ, để phục vụ nhanh các hộ đang chờ ở quầy và biết ngay họ còn nợ gì.</t>
  </si>
  <si>
    <t>EPIC-06</t>
  </si>
  <si>
    <t>Tra cứu và thống kê</t>
  </si>
  <si>
    <t>FEAT-06-01</t>
  </si>
  <si>
    <t>Tìm kiếm hộ gia đình và nhân khẩu</t>
  </si>
  <si>
    <t>Phục vụ nhanh các hộ đang chờ ở quầy và biết ngay họ còn nợ gì</t>
  </si>
  <si>
    <t>US-06, US-19</t>
  </si>
  <si>
    <t>Sprint 3</t>
  </si>
  <si>
    <t>RAW-016</t>
  </si>
  <si>
    <t xml:space="preserve">Lý do Must: Là thao tác thường xuyên nhất ở quầy (PP-04); tìm kiếm là hạng mục phạm vi v1.0.
Hiển thị tổng số tiền còn nợ của hộ (cần US-19). Bao gồm liệt kê tất cả các hộ.
Story Point: ước lượng ban đầu của nhóm phân tích, nhóm sẽ ước lượng lại.
Kế hoạch Sprint (Sprint 3): Cần hộ gia đình và khoản phải thu để hiển thị số tiền còn nợ.</t>
  </si>
  <si>
    <t>US-29</t>
  </si>
  <si>
    <t>Là một thủ quỹ, tôi muốn xem các khoản thu của một hộ (đã đóng, đóng một phần hoặc chưa đóng) và lịch sử thanh toán của hộ, để báo ngay cho hộ biết họ còn phải đóng những gì.</t>
  </si>
  <si>
    <t>FEAT-06-02</t>
  </si>
  <si>
    <t>Tra cứu khoản thu và thanh toán</t>
  </si>
  <si>
    <t>Báo ngay cho hộ biết họ còn phải đóng những gì</t>
  </si>
  <si>
    <t>RAW-018</t>
  </si>
  <si>
    <t xml:space="preserve">Lý do Must: Trả lời câu hỏi phổ biến nhất (hộ này còn nợ gì); tìm kiếm và tra cứu là các hạng mục phạm vi v1.0.
Phụ thuộc mềm: AC-US29-03 chỉ kiểm thử đầy đủ được sau khi có US-26.
Story Point: ước lượng ban đầu của nhóm phân tích, nhóm sẽ ước lượng lại.
Kế hoạch Sprint (Sprint 3): Cần thanh toán, thanh toán một phần và các thao tác hủy từ Sprint 2.</t>
  </si>
  <si>
    <t>US-31</t>
  </si>
  <si>
    <t>Là một thành viên Ban quản trị, tôi muốn lập danh sách các hộ chưa đóng hoặc còn nợ một khoản thu bắt buộc trong một kỳ đã chọn, để biết cần nhắc những hộ nào.</t>
  </si>
  <si>
    <t>FEAT-06-03</t>
  </si>
  <si>
    <t>Thống kê và báo cáo</t>
  </si>
  <si>
    <t>Biết cần nhắc những hộ nào</t>
  </si>
  <si>
    <t>RAW-020</t>
  </si>
  <si>
    <t xml:space="preserve">Lý do Must: Giúp Ban quản trị nhắc nợ thủ công; nhắc nợ tự động nằm ngoài v1.0 (C-05).
Chỉ các khoản thu bắt buộc.
Story Point: ước lượng ban đầu của nhóm phân tích, nhóm sẽ ước lượng lại.
Kế hoạch Sprint (Sprint 3): Cần trạng thái đóng phí từ Sprint 2.</t>
  </si>
  <si>
    <t>US-32</t>
  </si>
  <si>
    <t>Là một thành viên Ban quản trị, tôi muốn xem tổng số đã thu và số còn phải thu theo khoản thu và theo tháng, để nắm nhanh tình hình thu phí và báo cáo lại được cho cư dân.</t>
  </si>
  <si>
    <t>Nắm nhanh tình hình thu phí và báo cáo lại được cho cư dân</t>
  </si>
  <si>
    <t>RAW-019</t>
  </si>
  <si>
    <t xml:space="preserve">Lý do Must: Thống kê cơ bản là hạng mục phạm vi v1.0 và là bước kết thúc của luồng nghiệp vụ.
Không có biểu đồ (C-06). Phụ thuộc mềm: các thanh toán đã hủy được loại trừ khi có US-26.
Story Point: ước lượng ban đầu của nhóm phân tích, nhóm sẽ ước lượng lại.
Kế hoạch Sprint (Sprint 3): Cần các thanh toán đã ghi nhận và đã hủy từ Sprint 2.</t>
  </si>
  <si>
    <t>US-33</t>
  </si>
  <si>
    <t>Là một thành viên Ban quản trị, tôi muốn xem với mỗi đợt đóng góp tự nguyện tổng số tiền đã đóng góp và các hộ đã đóng góp, để báo cáo rõ đã quyên góp được bao nhiêu và từ những ai.</t>
  </si>
  <si>
    <t>Báo cáo rõ đã quyên góp được bao nhiêu và từ những ai</t>
  </si>
  <si>
    <t xml:space="preserve">Lý do Must: Thống kê các đợt đóng góp được nêu trong luồng nghiệp vụ của đề bài.
Chỉ báo cáo tổng số và người đóng góp; không có nợ cho khoản thu tự nguyện (C-07).
Story Point: ước lượng ban đầu của nhóm phân tích, nhóm sẽ ước lượng lại.
Kế hoạch Sprint (Sprint 3): Cần các khoản đóng góp tự nguyện từ Sprint 2.</t>
  </si>
  <si>
    <t>US-05</t>
  </si>
  <si>
    <t>Là một quản trị hệ thống, tôi muốn gán cho mỗi tài khoản một vai trò, mỗi vai trò chỉ được dùng một số chức năng, để thủ quỹ chỉ làm được việc thu phí, không sửa được hộ gia đình, nhân khẩu, khoản thu, đơn giá hay tài khoản.</t>
  </si>
  <si>
    <t>FEAT-01-03</t>
  </si>
  <si>
    <t>Phân quyền theo vai trò</t>
  </si>
  <si>
    <t>Thủ quỹ chỉ làm được việc thu phí, không sửa được hộ gia đình, nhân khẩu, khoản thu, đơn giá hay tài khoản</t>
  </si>
  <si>
    <t>Should</t>
  </si>
  <si>
    <t>Medium</t>
  </si>
  <si>
    <t>RAW-023</t>
  </si>
  <si>
    <t xml:space="preserve">Lý do Should: Có giá trị trong việc tách thủ quỹ và quản trị viên, nhưng luồng cốt lõi vẫn demo được với một vai trò; ma trận vai trò chưa được xác nhận (OQ-04).
Xuyên suốt: kiểm tra quyền được bổ sung dần theo từng màn hình. Nhiều story Should phụ thuộc vào nó.
Story Point: ước lượng ban đầu của nhóm phân tích, nhóm sẽ ước lượng lại.
Kế hoạch Sprint (Sprint 1): Là nền tảng cho việc kiểm tra quyền; đặt cuối sprint để áp dụng được cho các màn hình đã làm. Các màn hình sau dùng việc kiểm tra này trong các task của chính chúng.</t>
  </si>
  <si>
    <t>US-41</t>
  </si>
  <si>
    <t>Là một quản trị hệ thống, tôi muốn tạo và vô hiệu hóa tài khoản cho nhân sự Ban quản trị và đặt mật khẩu mới cho người dùng quên mật khẩu, để chỉ người do Ban quản trị chọn mới đăng nhập được và nhân sự quên mật khẩu không bị khóa ngoài hệ thống.</t>
  </si>
  <si>
    <t>FEAT-01-04</t>
  </si>
  <si>
    <t>Cấp phát tài khoản</t>
  </si>
  <si>
    <t>Chỉ người do Ban quản trị chọn mới đăng nhập được và nhân sự quên mật khẩu không bị khóa ngoài hệ thống</t>
  </si>
  <si>
    <t>US-01, US-05</t>
  </si>
  <si>
    <t>RAW-001, RAW-023</t>
  </si>
  <si>
    <t xml:space="preserve">Lý do Should: Cần để cấp tài khoản ngay trong hệ thống, nhưng demo có thể bắt đầu với tài khoản quản trị nạp sẵn.
Bổ sung khi lập backlog (khoảng trống: RAW-001 «tài khoản được cấp sẵn» và RAW-023 «quản trị viên quản lý tài khoản» chưa có story). Tài khoản quản trị ban đầu được nạp sẵn (giả định).
Story Point: ước lượng ban đầu của nhóm phân tích, nhóm sẽ ước lượng lại.
Kế hoạch Sprint (Sprint 2): Cần đăng nhập và vai trò từ Sprint 1. Đặt ở Sprint 2 để Sprint 1 có khối lượng tương đương các sprint khác; demo Sprint 1 dùng tài khoản quản trị nạp sẵn.</t>
  </si>
  <si>
    <t>US-25</t>
  </si>
  <si>
    <t>Là một thủ quỹ, tôi muốn in hoặc xuất biên lai cho một thanh toán đã ghi nhận, để hộ gia đình có chứng từ nộp tiền rõ ràng và thủ quỹ không phải viết biên lai bằng tay nữa.</t>
  </si>
  <si>
    <t>FEAT-05-02</t>
  </si>
  <si>
    <t>Biên lai</t>
  </si>
  <si>
    <t>Hộ gia đình có chứng từ nộp tiền rõ ràng và thủ quỹ không phải viết biên lai bằng tay nữa</t>
  </si>
  <si>
    <t>RAW-014</t>
  </si>
  <si>
    <t xml:space="preserve">Lý do Should: Thay biên lai viết tay (PP-06); đề bài không nêu, nên luồng cốt lõi vẫn chạy được khi không có nó.
Bố cục biên lai là OQ-06. Phụ thuộc mềm: AC-02 cần US-24, AC-03 cần US-26.
Story Point: ước lượng ban đầu của nhóm phân tích, nhóm sẽ ước lượng lại.
Kế hoạch Sprint (Sprint 2): Cần các thanh toán đã ghi nhận và trạng thái đã hủy từ US-26.</t>
  </si>
  <si>
    <t>US-26</t>
  </si>
  <si>
    <t>Là một thủ quỹ, tôi muốn sửa hoặc hủy một thanh toán ghi sai và nêu lý do, để sửa được sai sót mà không mất lịch sử, tránh tranh chấp.</t>
  </si>
  <si>
    <t>FEAT-05-03</t>
  </si>
  <si>
    <t>Sửa thanh toán</t>
  </si>
  <si>
    <t>Sửa được sai sót mà không mất lịch sử, tránh tranh chấp</t>
  </si>
  <si>
    <t>RAW-015</t>
  </si>
  <si>
    <t xml:space="preserve">Lý do Should: Tránh tranh chấp và giữ lịch sử, nhưng vẫn ghi nhận và hiển thị được thanh toán khi không có nó.
Chính sách tính lại là OQ-14. Mở khóa các trường hợp thanh toán đã hủy của US-25 và US-29.
Story Point: ước lượng ban đầu của nhóm phân tích, nhóm sẽ ước lượng lại.
Kế hoạch Sprint (Sprint 2): Dựa trên US-22; mở khóa các trường hợp thanh toán đã hủy trong các story ở Sprint 3.</t>
  </si>
  <si>
    <t xml:space="preserve">US-38
(Technical Story)</t>
  </si>
  <si>
    <t>Là một quản trị hệ thống, tôi muốn sao lưu toàn bộ dữ liệu hệ thống bằng một thao tác, hoặc tự động theo lịch, và khôi phục khi cần, để hồ sơ khoản thu và nhân khẩu khôi phục được sau sự cố ổ đĩa hoặc khi lỡ xóa mất dữ liệu.</t>
  </si>
  <si>
    <t>EPIC-07</t>
  </si>
  <si>
    <t>An toàn dữ liệu, truy vết và chất lượng nền tảng</t>
  </si>
  <si>
    <t>FEAT-07-03</t>
  </si>
  <si>
    <t>Sao lưu và khôi phục</t>
  </si>
  <si>
    <t>Hồ sơ khoản thu và nhân khẩu khôi phục được sau sự cố ổ đĩa hoặc khi lỡ xóa mất dữ liệu</t>
  </si>
  <si>
    <t>RAW-026</t>
  </si>
  <si>
    <t xml:space="preserve">Lý do Should: Là biện pháp bảo vệ giá trị cao trước nguy cơ mất dữ liệu (mối quan tâm của BQT) nhưng sản phẩm vẫn demo được khi không có nó.
Hạ từ Must (ở bản Epic/User Story) xuống Should: không chặn luồng chính và AC-04 cần US-05. Sao lưu hằng ngày mặc định và RTO chưa chốt. Technical Story.
Story Point: ước lượng ban đầu của nhóm phân tích, nhóm sẽ ước lượng lại.
Kế hoạch Sprint (Sprint 3): Các stakeholder coi sao lưu là bắt buộc (WISH-07) và RAW-026 có gợi ý Must; story cần vai trò từ Sprint 1. Đặt ở Sprint 3 để bài kiểm thử khôi phục bao phủ toàn bộ mô hình dữ liệu.</t>
  </si>
  <si>
    <t>US-20</t>
  </si>
  <si>
    <t>Là một thủ quỹ, tôi muốn xem số tiền phải đóng của một hộ gia đình được tính như thế nào, để giải thích được số tiền đó cho hộ đang thắc mắc.</t>
  </si>
  <si>
    <t>Giải thích được số tiền đó cho hộ đang thắc mắc</t>
  </si>
  <si>
    <t xml:space="preserve">Lý do Should: Giúp giải thích số tiền cho cư dân (PP-08); bản thân số tiền đã được US-19 tạo ra.
Cần lưu các đầu vào của phép tính cùng với mỗi khoản phải thu.
Story Point: ước lượng ban đầu của nhóm phân tích, nhóm sẽ ước lượng lại.
Kế hoạch Sprint (Sprint 2): Là màn hình nhỏ xây trên US-19; rẻ khi US-19 vừa làm xong.</t>
  </si>
  <si>
    <t>US-28</t>
  </si>
  <si>
    <t>Là một thành viên Ban quản trị, tôi muốn tìm một nhân khẩu theo họ tên hoặc thông tin cơ bản trong tất cả các hộ, để xác định nhanh một người khi cư dân hoặc cơ quan chức năng hỏi.</t>
  </si>
  <si>
    <t>Xác định nhanh một người khi cư dân hoặc cơ quan chức năng hỏi</t>
  </si>
  <si>
    <t>RAW-017</t>
  </si>
  <si>
    <t xml:space="preserve">Lý do Should: Là tiện ích bổ sung trên tìm kiếm hộ; vẫn truy cập được dữ liệu nhân khẩu qua các hộ.
Gợi ý của RAW-017 là Should.
Story Point: ước lượng ban đầu của nhóm phân tích, nhóm sẽ ước lượng lại.
Kế hoạch Sprint (Sprint 3): Cần nhân khẩu từ Sprint 1; ít công sức.</t>
  </si>
  <si>
    <t>US-30</t>
  </si>
  <si>
    <t>Là một thành viên Ban quản trị, tôi muốn lọc khoản thu và thanh toán theo hộ, khoản thu, kỳ, trạng thái đóng phí và khoảng ngày, để tìm được bản ghi cần xem mà không phải lọc bảng tính bằng tay.</t>
  </si>
  <si>
    <t>Tìm được bản ghi cần xem mà không phải lọc bảng tính bằng tay</t>
  </si>
  <si>
    <t>Unplanned</t>
  </si>
  <si>
    <t>Product Backlog</t>
  </si>
  <si>
    <t xml:space="preserve">Lý do Should: Thay việc lọc trong Excel (PP-02) nhưng màn hình tổng quan theo từng hộ (US-29) đã đáp ứng trường hợp ở quầy.
Có thể bắt đầu sau US-22.
Story Point: ước lượng ban đầu của nhóm phân tích, nhóm sẽ ước lượng lại.
Không nằm trong Sprint 1-3: Should. Màn hình tổng quan theo hộ (US-29) và danh sách chưa đóng (US-31) đã đáp ứng trường hợp ở quầy; được đưa ra khỏi Sprint 3 để nhường chỗ cho US-38 và US-35, mà các stakeholder coi là bắt buộc hoặc gợi ý Must.</t>
  </si>
  <si>
    <t xml:space="preserve">US-36
(Technical Story)</t>
  </si>
  <si>
    <t>Là một quản trị hệ thống, tôi muốn hệ thống tự ghi nhật ký mọi thao tác tạo, sửa, hủy dữ liệu thanh toán và nhân khẩu, cùng mọi lần xuất dữ liệu, để luôn biết được ai đã thay đổi gì và vào lúc nào.</t>
  </si>
  <si>
    <t>FEAT-07-02</t>
  </si>
  <si>
    <t>Nhật ký thao tác</t>
  </si>
  <si>
    <t>Luôn biết được ai đã thay đổi gì và vào lúc nào</t>
  </si>
  <si>
    <t>US-22, US-10</t>
  </si>
  <si>
    <t>RAW-025</t>
  </si>
  <si>
    <t xml:space="preserve">Lý do Should: Truy vết thay đổi (PP-05); quan trọng khi có tranh chấp nhưng không cần để chạy luồng chính.
Các điểm ghi nhật ký chạm nhiều module, nên rẻ hơn nếu thêm sớm trong nhóm Should. Thời gian lưu giữ là OQ-11. Technical Story.
Story Point: ước lượng ban đầu của nhóm phân tích, nhóm sẽ ước lượng lại.
Không nằm trong Sprint 1-3: Should. Không cần cho luồng chính. Nếu làm sau, phải thêm các điểm ghi nhật ký vào mã thanh toán và nhân khẩu đã viết ở Sprint 1-2 (rủi ro chấp nhận).</t>
  </si>
  <si>
    <t xml:space="preserve">US-35
(Technical Story)</t>
  </si>
  <si>
    <t>Là một thành viên Ban quản trị, tôi muốn số giấy tờ tùy thân được che sẵn trên màn hình, chỉ vai trò được phép mới xem đầy đủ hoặc xuất ra được, để dữ liệu cá nhân của cư dân không bị lộ cho người đứng gần màn hình hoặc người không có quyền.</t>
  </si>
  <si>
    <t>FEAT-07-01</t>
  </si>
  <si>
    <t>Bảo vệ dữ liệu cá nhân</t>
  </si>
  <si>
    <t>Dữ liệu cá nhân của cư dân không bị lộ cho người đứng gần màn hình hoặc người không có quyền</t>
  </si>
  <si>
    <t>US-05, US-10</t>
  </si>
  <si>
    <t>RAW-024</t>
  </si>
  <si>
    <t xml:space="preserve">Lý do Should: Bảo vệ quyền riêng tư, chỉ có ý nghĩa khi số giấy tờ được lưu (OQ-08) và đã có vai trò.
Hạ từ Must (ở bản Epic/User Story) xuống Should: phụ thuộc US-05 (Should) và OQ-08. Mức che (4 ký tự cuối) là đề xuất. Technical Story.
Story Point: ước lượng ban đầu của nhóm phân tích, nhóm sẽ ước lượng lại.
Kế hoạch Sprint (Sprint 3): RAW-024 có gợi ý Must và cư dân lo ngại bị lộ thông tin (WISH-23). Story cần dữ liệu nhân khẩu của Sprint 1 và các màn hình tìm kiếm của Sprint 3, để việc che bao phủ mọi danh sách.</t>
  </si>
  <si>
    <t>US-34</t>
  </si>
  <si>
    <t>Là một thành viên Ban quản trị, tôi muốn xem số hộ gia đình, nhân khẩu, nhân khẩu tạm trú và nhân khẩu tạm vắng vào một ngày đã chọn, để đáp ứng yêu cầu của cơ quan chức năng và phục vụ các cuộc họp cư dân, với số liệu theo một ngày cụ thể.</t>
  </si>
  <si>
    <t>Đáp ứng yêu cầu của cơ quan chức năng và phục vụ các cuộc họp cư dân, với số liệu theo một ngày cụ thể</t>
  </si>
  <si>
    <t>US-12, US-14</t>
  </si>
  <si>
    <t>RAW-021</t>
  </si>
  <si>
    <t xml:space="preserve">Lý do Should: Hữu ích cho cơ quan chức năng và các cuộc họp; thống kê nhân khẩu không nằm trong luồng thu phí.
Việc tính số lượng tại một ngày là phần việc chính.
Story Point: ước lượng ban đầu của nhóm phân tích, nhóm sẽ ước lượng lại.
Không nằm trong Sprint 1-3: Should. Thống kê nhân khẩu không nằm trong luồng thu phí.</t>
  </si>
  <si>
    <t>US-13</t>
  </si>
  <si>
    <t>Là một thành viên Ban quản trị, tôi muốn xem lịch sử biến động của một hộ gia đình hoặc của một nhân khẩu, để trả lời được cư dân và cơ quan chức năng khi họ hỏi ai đã ở đó và vào lúc nào.</t>
  </si>
  <si>
    <t>Trả lời được cư dân và cơ quan chức năng khi họ hỏi ai đã ở đó và vào lúc nào</t>
  </si>
  <si>
    <t xml:space="preserve">Lý do Should: Là màn hình chỉ đọc cho dữ liệu mà US-12 đã lưu.
Story Point: ước lượng ban đầu của nhóm phân tích, nhóm sẽ ước lượng lại.
Không nằm trong Sprint 1-3: Should. Là màn hình chỉ đọc cho dữ liệu biến động đã được lưu.</t>
  </si>
  <si>
    <t>US-15</t>
  </si>
  <si>
    <t>Là một thành viên Ban quản trị, tôi muốn xuất hoặc in danh sách hộ gia đình, nhân khẩu và biến động theo phạm vi đã chọn, để cung cấp cho cơ quan chức năng thông tin họ yêu cầu mà không phải gom bằng tay.</t>
  </si>
  <si>
    <t>FEAT-03-04</t>
  </si>
  <si>
    <t>Xuất dữ liệu cho cơ quan chức năng</t>
  </si>
  <si>
    <t>Cung cấp cho cơ quan chức năng thông tin họ yêu cầu mà không phải gom bằng tay</t>
  </si>
  <si>
    <t>US-10, US-12, US-05</t>
  </si>
  <si>
    <t>RAW-009</t>
  </si>
  <si>
    <t xml:space="preserve">Lý do Should: Có nêu trong đề bài nhưng chưa biết chính xác các biểu mẫu (OQ-07); trong lúc đó vẫn hiển thị được danh sách trên màn hình.
Phụ thuộc US-05 cho trường hợp «vai trò không được phép xuất».
Story Point: ước lượng ban đầu của nhóm phân tích, nhóm sẽ ước lượng lại.
Không nằm trong Sprint 1-3: Should. Chưa biết các biểu mẫu xuất (OQ-07); trong lúc đó vẫn hiển thị được danh sách trên màn hình.</t>
  </si>
  <si>
    <t>US-09</t>
  </si>
  <si>
    <t>Là một thành viên Ban quản trị, tôi muốn ghi nhận việc đổi chủ hộ hoặc hộ chuyển đi mà vẫn giữ thông tin cũ, để lịch sử chủ sở hữu luôn có sẵn khi cần giải đáp về khoản thu hoặc yêu cầu của cơ quan chức năng.</t>
  </si>
  <si>
    <t>FEAT-02-03</t>
  </si>
  <si>
    <t>Lịch sử thay đổi hộ gia đình</t>
  </si>
  <si>
    <t>Lịch sử chủ sở hữu luôn có sẵn khi cần giải đáp về khoản thu hoặc yêu cầu của cơ quan chức năng</t>
  </si>
  <si>
    <t>RAW-005</t>
  </si>
  <si>
    <t xml:space="preserve">Lý do Should: Lịch sử đổi chủ giữ dữ liệu sạch; là sự kiện thỉnh thoảng xảy ra và không chặn công việc hằng ngày.
Chồng lấn RAW-007 ở cấp hộ; ranh giới được giữ trong RAW_Review (file 05).
Story Point: ước lượng ban đầu của nhóm phân tích, nhóm sẽ ước lượng lại.
Không nằm trong Sprint 1-3: Should. Là sự kiện thỉnh thoảng xảy ra và không chặn công việc hằng ngày.</t>
  </si>
  <si>
    <t>US-18</t>
  </si>
  <si>
    <t>Là một thành viên Ban quản trị, tôi muốn xem danh sách khoản thu kèm loại, kỳ thu, đơn giá, hạn nộp và trạng thái, để kiểm tra nhanh đang có những khoản thu nào.</t>
  </si>
  <si>
    <t>Kiểm tra nhanh đang có những khoản thu nào</t>
  </si>
  <si>
    <t xml:space="preserve">Lý do Should: Là màn hình tiện ích; các khoản thu đã chọn được ngay ở những nơi dùng đến.
Story Point: ước lượng ban đầu của nhóm phân tích, nhóm sẽ ước lượng lại.
Không nằm trong Sprint 1-3: Should. Các khoản thu đã chọn được ngay ở những nơi dùng đến.</t>
  </si>
  <si>
    <t xml:space="preserve">US-39
(Technical Story)</t>
  </si>
  <si>
    <t>Là một thủ quỹ, tôi muốn các màn hình tìm kiếm hộ gia đình, nhân khẩu và danh sách phản hồi trong vài giây, để các hộ xếp hàng ở quầy được phục vụ nhanh, không phải chờ lâu.</t>
  </si>
  <si>
    <t>FEAT-07-04</t>
  </si>
  <si>
    <t>Nền tảng hiệu năng và tính dễ dùng</t>
  </si>
  <si>
    <t>Các hộ xếp hàng ở quầy được phục vụ nhanh, không phải chờ lâu</t>
  </si>
  <si>
    <t>US-27, US-28</t>
  </si>
  <si>
    <t>RAW-027</t>
  </si>
  <si>
    <t xml:space="preserve">Lý do Should: Là mục tiêu chất lượng cho quầy thu; được kiểm tra trên bộ dữ liệu demo khi các chức năng tìm kiếm đã có.
3 giây và 500 hộ là mục tiêu đề xuất (AS-13, OQ-10). Cũng được coi là Definition of Done. Technical Story.
Story Point: ước lượng ban đầu của nhóm phân tích, nhóm sẽ ước lượng lại.
Kế hoạch Sprint (Sprint 3): Chỉ đo được sau khi các chức năng tìm kiếm đã có.</t>
  </si>
  <si>
    <t xml:space="preserve">US-40
(Technical Story)</t>
  </si>
  <si>
    <t>Là một thành viên Ban quản trị, tôi muốn ứng dụng dùng tiếng Việt, hiển thị tiền VND dễ đọc và có thông báo lỗi rõ ràng, để nhân sự không chuyên CNTT dùng được sau một buổi hướng dẫn ngắn.</t>
  </si>
  <si>
    <t>Nhân sự không chuyên CNTT dùng được sau một buổi hướng dẫn ngắn</t>
  </si>
  <si>
    <t>RAW-028</t>
  </si>
  <si>
    <t xml:space="preserve">Lý do Should: Là mục tiêu chất lượng cho nhân sự không chuyên CNTT; chủ yếu được áp dụng trong lúc xây dựng các màn hình.
Buổi chạy thử là role-play, không phải kiểm thử với người dùng thật. Cũng được coi là Definition of Done. Technical Story.
Story Point: ước lượng ban đầu của nhóm phân tích, nhóm sẽ ước lượng lại.
Kế hoạch Sprint (Sprint 3): Rà soát mọi màn hình nên phải làm sau khi chúng đã có.</t>
  </si>
  <si>
    <t>US-04</t>
  </si>
  <si>
    <t>Là một người dùng hệ thống, tôi muốn xem và cập nhật thông tin cá nhân của chính tài khoản mình, để hồ sơ tài khoản của Ban quản trị luôn đúng và mọi thao tác đều gắn được với một người cụ thể.</t>
  </si>
  <si>
    <t>Hồ sơ tài khoản của Ban quản trị luôn đúng và mọi thao tác đều gắn được với một người cụ thể</t>
  </si>
  <si>
    <t xml:space="preserve">Lý do Should: Là việc dọn dẹp tài khoản, ít ảnh hưởng đến luồng chính.
Các trường thông tin cá nhân chưa chốt.
Story Point: ước lượng ban đầu của nhóm phân tích, nhóm sẽ ước lượng lại.
Không nằm trong Sprint 1-3: Should. Ít ảnh hưởng đến luồng chính.</t>
  </si>
  <si>
    <t>US-24</t>
  </si>
  <si>
    <t>Là một thủ quỹ, tôi muốn ghi nhận một thanh toán chi trả cho nhiều khoản thu hoặc nhiều kỳ và phân bổ vào từng khoản, để một hộ đóng nhiều khoản trong một lần đến chỉ cần một lần nhập.</t>
  </si>
  <si>
    <t>Một hộ đóng nhiều khoản trong một lần đến chỉ cần một lần nhập</t>
  </si>
  <si>
    <t>Could</t>
  </si>
  <si>
    <t>Low</t>
  </si>
  <si>
    <t xml:space="preserve">Lý do Could: Là tiện ích: có thể nhập từng thanh toán một, nên không mất chức năng nào khi thiếu nó.
Hạ từ Should (ở bản Epic/User Story) xuống Could.
Story Point: ước lượng ban đầu của nhóm phân tích, nhóm sẽ ước lượng lại.
Không nằm trong Sprint 1-3: Could. Có thể nhập từng thanh toán một.</t>
  </si>
  <si>
    <t>US-37</t>
  </si>
  <si>
    <t>Là một quản trị hệ thống, tôi muốn tìm và xem nhật ký thao tác theo người dùng, ngày và đối tượng, để kiểm tra lại được khi có tranh chấp về dữ liệu bị thay đổi.</t>
  </si>
  <si>
    <t>Kiểm tra lại được khi có tranh chấp về dữ liệu bị thay đổi</t>
  </si>
  <si>
    <t>US-36, US-05</t>
  </si>
  <si>
    <t xml:space="preserve">Lý do Could: Xem nhật ký là tính năng nên có khi US-36 đã ghi lại.
Chỉ quản trị viên mới mở được.
Story Point: ước lượng ban đầu của nhóm phân tích, nhóm sẽ ước lượng lại.
Không nằm trong Sprint 1-3: Could. Phụ thuộc US-36, vốn chưa được xếp kế hoạch.</t>
  </si>
  <si>
    <t>SUMMARY</t>
  </si>
  <si>
    <t>SPRINT PLAN</t>
  </si>
  <si>
    <t>Stories</t>
  </si>
  <si>
    <t>Product Backlog items</t>
  </si>
  <si>
    <t>Unplanned (ở lại Product Backlog)</t>
  </si>
  <si>
    <t>Won't (stories)</t>
  </si>
  <si>
    <t>Roadmap (v2.0, không có story)</t>
  </si>
  <si>
    <t>Total Story Points</t>
  </si>
  <si>
    <t>Roadmap v2.0 (phí gửi xe; điện, nước, internet) không thuộc backlog này hay Sprint 1-3: không có User Story, là Won't-have cho v1.0 và chỉ được liệt kê ở sheet Traceability (RAW-029, RAW-030) với Planned Sprint = Roadmap.</t>
  </si>
  <si>
    <t>Traceability Matrix — RAW to Acceptance Criteria</t>
  </si>
  <si>
    <t>Chuỗi: RAW &gt; Epic &gt; Feature &gt; User Story &gt; Acceptance Criteria. Mỗi dòng là một cặp RAW và User Story. Nội dung RAW là nguồn từ báo cáo phỏng vấn và không bị thay đổi.</t>
  </si>
  <si>
    <t>RAW ID</t>
  </si>
  <si>
    <t>RAW Requirement</t>
  </si>
  <si>
    <t>Acceptance Criteria</t>
  </si>
  <si>
    <t>Hệ thống cho phép Ban quản trị đăng nhập bằng tài khoản được cấp sẵn (tên đăng nhập, mật khẩu); các chức năng quản lý chỉ truy cập được sau khi đăng nhập thành công.</t>
  </si>
  <si>
    <t xml:space="preserve">AC-US01-01
Given một tài khoản đã được cấp cho người dùng, và tên đăng nhập cùng mật khẩu đều đúng
When người dùng gửi form đăng nhập
Then hệ thống mở màn hình chính, chỉ hiển thị các chức năng mà tài khoản đó được phép dùng
AC-US01-02
Given tên đăng nhập sai hoặc mật khẩu sai
When người dùng gửi form đăng nhập
Then hệ thống từ chối đăng nhập bằng một thông báo chung, không nói rõ trường nào bị sai
And không có phiên đăng nhập nào được tạo
AC-US01-03
Given người dùng chưa đăng nhập
When người dùng cố mở một chức năng quản lý bất kỳ (hộ gia đình, nhân khẩu, khoản thu, thanh toán, tìm kiếm hoặc thống kê)
Then hệ thống từ chối truy cập và hiển thị màn hình đăng nhập</t>
  </si>
  <si>
    <t>IN_SCOPE. Không có tự đăng ký: tài khoản do Ban quản trị cấp (AS-03, OQ-01). Nhóm bổ sung US-41 khi lập Product Backlog để quản trị viên tạo tài khoản ngay trong hệ thống; một tài khoản quản trị ban đầu được nạp sẵn cho buổi demo (giả định).</t>
  </si>
  <si>
    <t xml:space="preserve">AC-US41-01
Given một quản trị hệ thống đã đăng nhập, nhập tên đăng nhập không trùng, tên hiển thị, mật khẩu ban đầu đạt quy tắc mật khẩu và một vai trò đã định nghĩa ở US-05
When quản trị viên lưu
Then tài khoản được tạo và người dùng đăng nhập được bằng mật khẩu ban đầu
AC-US41-02
Given tên đăng nhập đã tồn tại
When quản trị viên lưu
Then không có tài khoản nào được tạo và thông báo chỉ ra tên đăng nhập bị trùng
AC-US41-03
Given một tài khoản bị quản trị viên vô hiệu hóa
When người dùng của tài khoản đó cố đăng nhập
Then hệ thống từ chối đăng nhập
And dữ liệu tài khoản và lịch sử của tài khoản được giữ lại (không xóa cứng, AS-17)
AC-US41-04
Given một người dùng đã quên mật khẩu
When quản trị viên đặt mật khẩu tạm thời mới cho tài khoản đó
Then người dùng đăng nhập được bằng mật khẩu đó và mật khẩu cũ không còn dùng được
And mọi trạng thái khóa do đăng nhập sai của tài khoản đó được gỡ bỏ</t>
  </si>
  <si>
    <t>Người dùng tự đổi mật khẩu của mình và xem, cập nhật thông tin cá nhân của tài khoản.</t>
  </si>
  <si>
    <t xml:space="preserve">AC-US03-01
Given người dùng đã đăng nhập, nhập đúng mật khẩu hiện tại và một mật khẩu mới đạt quy tắc mật khẩu (đề xuất: tối thiểu 8 ký tự, chưa chốt) cùng phần xác nhận trùng khớp
When người dùng lưu thay đổi
Then mật khẩu được đổi
And lần đăng nhập tiếp theo yêu cầu dùng mật khẩu mới
AC-US03-02
Given người dùng nhập sai mật khẩu hiện tại
When người dùng lưu thay đổi
Then hệ thống từ chối thay đổi và mật khẩu giữ nguyên
AC-US03-03
Given mật khẩu mới và phần xác nhận khác nhau, hoặc mật khẩu mới vi phạm quy tắc mật khẩu
When người dùng lưu thay đổi
Then hệ thống từ chối thay đổi và thông báo rõ vấn đề hoặc quy tắc</t>
  </si>
  <si>
    <t>IN_SCOPE. Tách thành đổi mật khẩu (Must) và thông tin cá nhân (Should). Các trường hồ sơ vẫn cần xác nhận.</t>
  </si>
  <si>
    <t xml:space="preserve">AC-US04-01
Given người dùng đã đăng nhập
When người dùng mở màn hình thông tin tài khoản
Then thông tin cá nhân hiện tại của tài khoản đó được hiển thị (các trường cần xác nhận, ví dụ tên hiển thị và thông tin liên hệ)
AC-US04-02
Given người dùng thay đổi thông tin bằng các giá trị hợp lệ
When người dùng lưu thay đổi
Then thay đổi được lưu lại và hiển thị ở lần mở màn hình tiếp theo
AC-US04-03
Given một trường bắt buộc bị để trống
When người dùng lưu thay đổi
Then không có gì được lưu và thông báo nêu rõ trường còn thiếu</t>
  </si>
  <si>
    <t xml:space="preserve">BQT muốn lưu thông tin hộ gia đình tập trung và tránh trường hợp nhập trùng căn hộ.</t>
  </si>
  <si>
    <t xml:space="preserve">AC-US06-01
Given người dùng có quyền và nhập số căn hộ, chủ hộ, diện tích lớn hơn 0 m² và thông tin liên hệ
When người dùng lưu thay đổi
Then hộ gia đình được tạo và xuất hiện trong danh sách hộ
AC-US06-02
Given số căn hộ đã tồn tại
When người dùng lưu thay đổi
Then hộ gia đình không được tạo và thông báo chỉ ra số căn hộ bị trùng
AC-US06-03
Given một trường bắt buộc bị trống hoặc diện tích bằng 0, âm hoặc không phải số
When người dùng lưu thay đổi
Then không có gì được lưu và thông báo nêu rõ trường không hợp lệ</t>
  </si>
  <si>
    <t>IN_SCOPE. Việc nhập dữ liệu ban đầu từ Excel nằm ngoài dự án (AS-08, C-08, OQ-12).</t>
  </si>
  <si>
    <t>Cho phép xem chi tiết và sửa thông tin hộ gia đình (diện tích, chủ hộ, liên hệ), kèm danh sách nhân khẩu của hộ.</t>
  </si>
  <si>
    <t xml:space="preserve">AC-US07-01
Given một hộ gia đình tồn tại
When người dùng mở chi tiết hộ đó
Then số căn hộ, chủ hộ, diện tích và thông tin liên hệ được hiển thị cùng danh sách nhân khẩu và tình trạng cư trú của họ
AC-US07-02
Given một hộ gia đình chưa có nhân khẩu nào được ghi nhận
When người dùng mở chi tiết hộ đó
Then hệ thống hiển thị thông báo danh sách trống thay vì báo lỗi</t>
  </si>
  <si>
    <t>NEEDS_CLARIFICATION. OQ-14: ảnh hưởng của việc đổi diện tích đến các khoản phải thu đã tạo. Story dùng một chính sách đề xuất được đánh dấu TBD. Phần chồng lấn một phần với RAW-006 (danh sách nhân khẩu trên màn hình hộ) được xử lý bằng cách giữ việc sửa nhân khẩu trong EPIC-03.</t>
  </si>
  <si>
    <t xml:space="preserve">AC-US08-01
Given một hộ gia đình tồn tại
When người dùng thay đổi thông tin bằng các giá trị hợp lệ và lưu
Then thay đổi được lưu và hiển thị trong chi tiết hộ gia đình
AC-US08-02
Given diện tích bị đổi thành 0, số âm hoặc để trống, hoặc một trường bắt buộc bị trống
When người dùng lưu thay đổi
Then hệ thống từ chối thay đổi và giữ nguyên dữ liệu gốc
AC-US08-03
Given diện tích của một hộ gia đình bị thay đổi
When người dùng lưu thay đổi
Then diện tích mới chỉ được dùng cho các khoản phải thu sinh ra sau đó và các thanh toán đã ghi nhận không bị thay đổi (chính sách đề xuất, chưa chốt, OQ-14)</t>
  </si>
  <si>
    <t>Cho phép ghi nhận đổi chủ hộ hoặc hộ chuyển đi / ngừng cư trú mà vẫn lưu lịch sử, không xóa dữ liệu cũ.</t>
  </si>
  <si>
    <t xml:space="preserve">AC-US09-01
Given một hộ gia đình tồn tại
When người dùng ghi nhận một chủ hộ mới kèm ngày hiệu lực
Then chủ hộ mới được hiển thị là chủ hộ hiện tại
And chủ hộ trước đó vẫn nằm trong lịch sử của hộ cùng các mốc ngày
AC-US09-02
Given một hộ gia đình tồn tại
When người dùng ghi nhận hộ đã chuyển đi kèm ngày và lý do
Then hộ được đánh dấu là đã chuyển đi với ngày đó
And không có dữ liệu hộ hoặc nhân khẩu nào bị xóa
And hộ vẫn tìm thấy được bằng tìm kiếm
AC-US09-03
Given một hộ gia đình có các thay đổi đã được ghi nhận
When người dùng mở lịch sử của hộ
Then các thay đổi được liệt kê theo thứ tự thời gian cùng ngày tương ứng</t>
  </si>
  <si>
    <t>IN_SCOPE. Chồng lấn một phần với RAW-007. Ranh giới: RAW-005 ở cấp hộ (chủ hộ, hộ chuyển đi); RAW-007 là biến động ở cấp nhân khẩu.</t>
  </si>
  <si>
    <t xml:space="preserve">BQT muốn quản lý thông tin những người thuộc từng hộ và vẫn tra cứu được người đã rời đi.</t>
  </si>
  <si>
    <t xml:space="preserve">AC-US10-01
Given một hộ gia đình tồn tại và người dùng nhập họ tên, ngày sinh, giới tính và quan hệ với chủ hộ
When người dùng lưu thay đổi
Then nhân khẩu được thêm vào hộ đó và xuất hiện trong danh sách nhân khẩu của hộ
AC-US10-02
Given thiếu một trường bắt buộc
When người dùng lưu thay đổi
Then không có gì được lưu và thông báo nêu rõ trường còn thiếu
AC-US10-03
Given không cung cấp số giấy tờ tùy thân (trường này là tùy chọn, OQ-08)
When người dùng lưu thay đổi
Then nhân khẩu vẫn được lưu mà không có số giấy tờ</t>
  </si>
  <si>
    <t>IN_SCOPE. Số giấy tờ tùy chọn (OQ-08); các trường nhân khẩu theo AS-18.</t>
  </si>
  <si>
    <t xml:space="preserve">AC-US11-01
Given một nhân khẩu tồn tại
When người dùng thay đổi thông tin bằng các giá trị hợp lệ và lưu
Then thay đổi được lưu và hiển thị trong hồ sơ nhân khẩu
AC-US11-02
Given một trường bắt buộc bị đặt thành trống
When người dùng lưu thay đổi
Then hệ thống từ chối thay đổi và giữ nguyên dữ liệu trước đó
AC-US11-03
Given một nhân khẩu đã rời khỏi hộ
When người dùng tìm cách xóa nhân khẩu đó
Then không tồn tại chức năng xóa cứng và nhân khẩu chỉ có thể được đánh dấu là đã rời đi thông qua một bản ghi biến động
And nhân khẩu vẫn nằm trong lịch sử</t>
  </si>
  <si>
    <t xml:space="preserve">BQT muốn theo dõi các thay đổi nhân khẩu của từng hộ theo thời gian.</t>
  </si>
  <si>
    <t xml:space="preserve">AC-US12-01
Given một hộ gia đình tồn tại
When người dùng ghi nhận một lần chuyển đến hoặc một lần sinh kèm ngày hiệu lực và lý do
Then người đó được thêm làm nhân khẩu của hộ từ ngày đó
And một bản ghi biến động được lưu
AC-US12-02
Given một nhân khẩu tồn tại
When người dùng ghi nhận một lần chuyển đi hoặc một trường hợp mất kèm ngày hiệu lực và lý do
Then nhân khẩu được đánh dấu là đã rời đi từ ngày đó và không bị xóa
And một bản ghi biến động được lưu
AC-US12-03
Given thiếu ngày hiệu lực
When người dùng lưu thay đổi
Then không có gì được lưu và thông báo nêu rõ ngày là bắt buộc</t>
  </si>
  <si>
    <t>NEEDS_CLARIFICATION. OQ-13: danh sách loại biến động và hạn cập nhật. Story dùng chuyển đến, chuyển đi, sinh, mất làm danh sách đề xuất.</t>
  </si>
  <si>
    <t xml:space="preserve">AC-US13-01
Given một hộ gia đình có các biến động đã được ghi nhận
When người dùng mở lịch sử biến động của hộ
Then mỗi dòng hiển thị ngày, loại và lý do theo thứ tự thời gian
AC-US13-02
Given một nhân khẩu có các biến động đã được ghi nhận
When người dùng mở lịch sử biến động của nhân khẩu
Then chỉ hiển thị các dòng của nhân khẩu đó
AC-US13-03
Given chưa có biến động nào được ghi nhận
When người dùng mở một lịch sử
Then hệ thống hiển thị thông báo chưa có biến động nào được ghi nhận</t>
  </si>
  <si>
    <t xml:space="preserve">BQT muốn theo dõi tình trạng tạm trú/tạm vắng và thời hạn liên quan.</t>
  </si>
  <si>
    <t xml:space="preserve">AC-US14-01
Given một nhân khẩu tồn tại
When người dùng ghi nhận tạm trú hoặc tạm vắng kèm ngày bắt đầu, ngày kết thúc và lý do
Then tình trạng của nhân khẩu hiển thị trạng thái tạm thời cho giai đoạn đó
AC-US14-02
Given ngày kết thúc sớm hơn ngày bắt đầu
When người dùng lưu thay đổi
Then không có gì được lưu và thông báo giải thích lỗi về ngày
AC-US14-03
Given ngày kết thúc của một giai đoạn tạm thời đã qua
When người dùng mở danh sách nhân khẩu hoặc hồ sơ nhân khẩu
Then giai đoạn đó được đánh dấu là đã hết hạn</t>
  </si>
  <si>
    <t>IN_SCOPE. Chỉ có khoảng thời gian và cờ hết hạn; các biểu mẫu pháp lý nằm ngoài phạm vi (OQ-07).</t>
  </si>
  <si>
    <t>Cho phép xuất hoặc in danh sách hộ gia đình, nhân khẩu và biến động để Ban cung cấp cho cơ quan chức năng khi có yêu cầu.</t>
  </si>
  <si>
    <t xml:space="preserve">AC-US15-01
Given người dùng chọn một phạm vi (tất cả hộ hoặc một hộ)
When người dùng xuất hoặc in
Then kết quả chứa hộ gia đình, nhân khẩu và biến động của phạm vi đó theo bố cục dễ đọc
AC-US15-02
Given phạm vi đã chọn không có dữ liệu
When người dùng xuất hoặc in
Then hệ thống hiển thị thông báo không có dữ liệu thay vì tạo một tệp rỗng
AC-US15-03
Given vai trò của người dùng không được phép xuất dữ liệu cá nhân
When người dùng cố xuất
Then việc xuất bị từ chối</t>
  </si>
  <si>
    <t>NEEDS_CLARIFICATION. OQ-07: các trường và biểu mẫu chính xác mà cơ quan chức năng yêu cầu. Việc đóng dấu chính thức nằm ngoài hệ thống (AS-16).</t>
  </si>
  <si>
    <t xml:space="preserve">BQT muốn tự quản lý các khoản thu và có thể thay đổi mức thu khi cần.</t>
  </si>
  <si>
    <t xml:space="preserve">AC-US16-01
Given người dùng nhập các giá trị hợp lệ cho một khoản thu bắt buộc, gồm cả đơn giá
When người dùng lưu thay đổi
Then khoản thu được tạo và xuất hiện trong danh sách khoản thu
AC-US16-02
Given người dùng tạo một khoản thu bắt buộc mà không có đơn giá
When người dùng lưu thay đổi
Then không có gì được lưu và thông báo nêu rõ đơn giá là bắt buộc
AC-US16-03
Given người dùng tạo một khoản đóng góp tự nguyện
When người dùng lưu thay đổi
Then khoản thu được tạo mà không có số tiền cố định
AC-US16-04
Given đã tồn tại một khoản thu cùng tên và cùng kỳ
When người dùng lưu thay đổi
Then hệ thống từ chối vì bị trùng</t>
  </si>
  <si>
    <t>IN_SCOPE. Tách thành tạo, cập nhật/dừng và danh sách. Miễn giảm và đơn giá đặc biệt cho ki-ốt hoặc penthouse không nằm trong v1.0 (AS-14, OQ-02, OQ-03).</t>
  </si>
  <si>
    <t xml:space="preserve">AC-US17-01
Given một khoản thu tồn tại
When người dùng thay đổi đơn giá của khoản thu
Then đơn giá mới chỉ được dùng cho các khoản phải thu sinh ra sau đó
And các khoản phải thu và thanh toán đã có không bị thay đổi
AC-US17-02
Given một khoản thu đã có thanh toán
When người dùng cố xóa khoản thu đó
Then việc xóa bị từ chối và khoản thu chỉ có thể được chuyển sang trạng thái ngừng áp dụng
AC-US17-03
Given một khoản thu đang ngừng áp dụng
When người dùng sinh khoản phải thu hoặc ghi nhận thanh toán
Then khoản thu đó không được đưa ra để chọn
And khoản thu vẫn xuất hiện trong lịch sử và báo cáo</t>
  </si>
  <si>
    <t xml:space="preserve">AC-US18-01
Given các khoản thu tồn tại
When người dùng mở danh sách khoản thu
Then mỗi khoản thu hiển thị tên, loại, kỳ hoặc đợt thu, đơn giá hoặc số tiền, hạn nộp và trạng thái
AC-US18-02
Given người dùng lọc theo loại hoặc trạng thái
When bộ lọc được áp dụng
Then chỉ các khoản thu phù hợp được hiển thị</t>
  </si>
  <si>
    <t xml:space="preserve">BQT muốn hệ thống hỗ trợ tính phí theo diện tích căn hộ để giảm tính toán thủ công.</t>
  </si>
  <si>
    <t xml:space="preserve">AC-US19-01
Given một khoản thu bắt buộc đang áp dụng, tính theo m², và các hộ có diện tích hợp lệ
When người dùng sinh khoản phải thu cho một kỳ
Then mỗi hộ nhận một số tiền bằng diện tích nhân với đơn giá
AC-US19-02
Given các khoản phải thu của cùng khoản thu và cùng kỳ đã tồn tại
When người dùng sinh lại
Then không có bản ghi trùng nào được tạo và người dùng được thông báo là chúng đã tồn tại
AC-US19-03
Given một hộ không có diện tích hoặc có diện tích bằng 0
When người dùng sinh khoản phải thu
Then hộ đó bị bỏ qua và được liệt kê trong một cảnh báo để sửa lại diện tích</t>
  </si>
  <si>
    <t>NEEDS_CLARIFICATION. OQ-02 (miễn giảm), OQ-03 (giá ki-ốt và penthouse) và quy tắc làm tròn VND vẫn còn mở. Tách thành tạo khoản phải thu và diễn giải. Việc in thông báo từ hệ thống không bắt buộc (AS-07, OQ-06).</t>
  </si>
  <si>
    <t xml:space="preserve">AC-US20-01
Given một hộ gia đình có một khoản phải thu
When người dùng mở phần cách tính của khoản đó
Then tên khoản thu, kỳ thu, diện tích căn hộ, đơn giá và số tiền kết quả được hiển thị
AC-US20-02
Given đơn giá đã bị thay đổi sau khi khoản phải thu được sinh ra
When người dùng mở phần cách tính
Then đơn giá đã dùng tại thời điểm sinh khoản phải thu được hiển thị</t>
  </si>
  <si>
    <t>Hỗ trợ khoản đóng góp tự nguyện theo đợt: hộ tự nguyện số tiền, không bắt buộc; hộ chưa đóng không bị coi là nợ.</t>
  </si>
  <si>
    <t xml:space="preserve">AC-US21-01
Given một khoản đóng góp tự nguyện tồn tại
When người dùng xem các khoản thu của một hộ
Then không hiển thị số tiền bắt buộc và số tiền còn thiếu cho khoản thu đó
AC-US21-02
Given một hộ chưa đóng góp cho một đợt
When người dùng mở danh sách chưa đóng hoặc phần nợ của hộ
Then hộ đó không xuất hiện cho đợt này và không hiển thị khoản nợ nào
AC-US21-03
Given một khoản thu tự nguyện không có số tiền cố định
When thủ quỹ ghi nhận một khoản đóng góp với số tiền bất kỳ lớn hơn 0
Then khoản đóng góp được ghi nhận vào đợt thu mà không so sánh với số tiền phải đóng</t>
  </si>
  <si>
    <t>IN_SCOPE. Khoản thu tự nguyện không bao giờ là nợ (AS-19). Mâu thuẫn với yêu cầu danh sách người đóng góp của cơ quan chức năng được xử lý bằng cách chỉ báo cáo người đóng góp (C-07).</t>
  </si>
  <si>
    <t xml:space="preserve">Thủ quỹ muốn ghi nhận việc hộ nộp tiền, kể cả khi chỉ nộp một phần hoặc nhiều khoản cùng lúc.</t>
  </si>
  <si>
    <t xml:space="preserve">AC-US22-01
Given thủ quỹ đã xác thực và đã chọn một hộ hợp lệ cùng một khoản thu còn số tiền chưa đóng
When thanh toán được ghi nhận thành công
Then hệ thống lưu thanh toán (hộ, khoản thu, kỳ, số tiền, ngày, hình thức, người thu)
And trạng thái đóng phí của khoản thu đó cho hộ được cập nhật
AC-US22-02
Given số tiền đã nộp bằng số tiền còn phải đóng
When thanh toán được ghi nhận
Then trạng thái của khoản thu đó cho hộ trở thành Đã đóng
AC-US22-03
Given chưa chọn hộ hoặc khoản thu, số tiền không phải số dương, hoặc thiếu ngày
When thủ quỹ lưu
Then không có gì được lưu và thông báo nêu rõ vấn đề
AC-US22-04
Given kịch bản chuẩn gồm một thanh toán cho một hộ
When một người dùng không phải lập trình viên ghi nhận thanh toán đó
Then thao tác mất không quá 5 bước chính (chọn hộ, chọn khoản thu, nhập số tiền, xác nhận) (mục tiêu đề xuất, chưa chốt) [NFR-007.4]</t>
  </si>
  <si>
    <t>NEEDS_CLARIFICATION. OQ-05 (phí trễ hạn, đóng trước, đóng thừa) và OQ-09 (hình thức thanh toán). Tách thành thanh toán đủ, một phần và gộp. Người đóng thay chỉ là ghi chú (AS-15).</t>
  </si>
  <si>
    <t xml:space="preserve">AC-US23-01
Given một hộ còn nợ một số tiền chưa đóng của một khoản thu
When thủ quỹ ghi nhận một số tiền nhỏ hơn
Then thanh toán được lưu
And trạng thái chuyển thành Đóng một phần
And số tiền còn lại bằng số tiền phải đóng trừ tổng số đã nộp
AC-US23-02
Given một khoản thu đang ở trạng thái Đóng một phần
When một thanh toán sau đó làm tổng số đã nộp bằng số tiền phải đóng
Then trạng thái chuyển thành Đã đóng và số tiền còn lại bằng 0
AC-US23-03
Given nhập một số tiền lớn hơn số tiền còn lại cho một khoản thu bắt buộc
When thủ quỹ lưu
Then hệ thống từ chối thanh toán và hiển thị số tiền còn lại (chính sách đề xuất; quy tắc nộp thừa và nộp trước chưa chốt, OQ-05)</t>
  </si>
  <si>
    <t xml:space="preserve">AC-US24-01
Given một hộ gia đình còn nhiều khoản thu hoặc nhiều kỳ chưa đóng
When thủ quỹ nhập một thanh toán và phân bổ số tiền vào các khoản thu đã chọn sao cho tổng các phần phân bổ bằng số tiền đã nộp
Then một thanh toán được lưu cùng các phần phân bổ của nó
And trạng thái của từng khoản thu đã chọn được cập nhật
AC-US24-02
Given tổng các phần phân bổ không bằng số tiền đã nộp
When thủ quỹ lưu
Then không có gì được lưu và thông báo hiển thị phần chênh lệch
AC-US24-03
Given một phần phân bổ lớn hơn số tiền còn phải đóng của khoản thu đó
When thủ quỹ lưu
Then hệ thống từ chối thanh toán và nêu tên khoản thu liên quan</t>
  </si>
  <si>
    <t>Cho phép in hoặc xuất biên lai (phiếu thu) cho từng lần nộp gồm số căn hộ, khoản, kỳ, số tiền, ngày, người thu và cách tính.</t>
  </si>
  <si>
    <t xml:space="preserve">AC-US25-01
Given một thanh toán đã được ghi nhận
When thủ quỹ in hoặc xuất biên lai
Then biên lai hiển thị số căn hộ, khoản thu, kỳ, số tiền, ngày nộp, người thu và cơ sở tính
AC-US25-02
Given một thanh toán gộp chi trả cho nhiều khoản thu
When biên lai được in
Then một biên lai liệt kê từng dòng khoản thu và tổng số tiền
AC-US25-03
Given một thanh toán đã bị hủy
When biên lai của thanh toán đó được in hoặc xuất
Then biên lai được đánh dấu rõ là đã hủy</t>
  </si>
  <si>
    <t>IN_SCOPE. Đề bài không nêu (giả định). Mẫu biên lai là OQ-06.</t>
  </si>
  <si>
    <t xml:space="preserve">Thủ quỹ muốn xử lý được giao dịch thu ghi nhầm; phần truy vết thay đổi nằm ở RAW-025 và NFR-004.</t>
  </si>
  <si>
    <t xml:space="preserve">AC-US26-01
Given một thanh toán đã được ghi nhận
When thủ quỹ hủy thanh toán và nhập lý do
Then thanh toán được đánh dấu Đã hủy và không còn được tính vào các tổng
And bản ghi gốc được giữ lại
AC-US26-02
Given một thanh toán đã được ghi nhận
When thủ quỹ sửa số tiền hoặc ngày của thanh toán và nhập lý do
Then các giá trị mới được sử dụng
And các giá trị cũ vẫn hiển thị trong lịch sử thanh toán
AC-US26-03
Given lý do bị để trống
When thủ quỹ lưu một thao tác sửa hoặc hủy
Then hệ thống từ chối và thông báo lý do là bắt buộc
AC-US26-04
Given một thanh toán bị sửa hoặc bị hủy
When trạng thái đóng phí của hộ được hiển thị
Then trạng thái được tính lại từ các thanh toán còn hiệu lực</t>
  </si>
  <si>
    <t>NEEDS_CLARIFICATION. OQ-14: tính lại sau khi sửa hoặc hủy. Không xóa cứng (AS-17).</t>
  </si>
  <si>
    <t xml:space="preserve">Thủ quỹ và BQT muốn tìm hộ gia đình theo số căn hộ và tên chủ hộ, kèm số tiền phải nộp; yêu cầu tốc độ nằm ở NFR-006.</t>
  </si>
  <si>
    <t xml:space="preserve">AC-US27-01
Given các hộ gia đình tồn tại
When người dùng tìm theo một số căn hộ
Then hộ phù hợp được hiển thị cùng tổng số tiền còn nợ hiện tại (bằng 0 nếu không nợ)
AC-US27-02
Given các hộ gia đình tồn tại
When người dùng tìm theo toàn bộ hoặc một phần tên chủ hộ
Then tất cả các hộ có chủ hộ phù hợp được liệt kê
AC-US27-03
Given không có kết quả phù hợp
When người dùng tìm kiếm
Then hệ thống hiển thị thông báo không tìm thấy hộ nào
AC-US27-04
Given các hộ gia đình tồn tại
When người dùng mở màn hình hộ gia đình mà không nhập từ khóa tìm kiếm
Then tất cả các hộ được liệt kê theo thứ tự số căn hộ</t>
  </si>
  <si>
    <t>IN_SCOPE. Chồng lấn với RAW-018. Ranh giới: RAW-016 tìm một hộ và hiển thị tổng số tiền còn nợ; RAW-018 hiển thị chi tiết khoản thu, lịch sử và bộ lọc.</t>
  </si>
  <si>
    <t>Tìm nhân khẩu theo họ tên (và thông tin cơ bản) trên toàn bộ các hộ.</t>
  </si>
  <si>
    <t xml:space="preserve">AC-US28-01
Given các nhân khẩu tồn tại trong nhiều hộ gia đình
When người dùng tìm theo toàn bộ hoặc một phần họ tên
Then mọi nhân khẩu phù hợp được liệt kê cùng số căn hộ của hộ
AC-US28-02
Given không có kết quả phù hợp
When người dùng tìm kiếm
Then hệ thống hiển thị thông báo không tìm thấy nhân khẩu nào</t>
  </si>
  <si>
    <t>IN_SCOPE. Tìm kiếm nhân khẩu; số giấy tờ trong kết quả theo RAW-024.</t>
  </si>
  <si>
    <t xml:space="preserve">BQT và Thủ quỹ muốn tra cứu khoản thu và lịch sử đóng tiền của từng hộ theo nhiều tiêu chí.</t>
  </si>
  <si>
    <t xml:space="preserve">AC-US29-01
Given một hộ gia đình được chọn
When người dùng mở màn hình tổng quan khoản thu của hộ
Then mỗi khoản thu và kỳ hiển thị số tiền phải đóng, số tiền đã nộp, số tiền còn lại và trạng thái (Đã đóng, Đóng một phần hoặc Chưa đóng)
AC-US29-02
Given hộ có các thanh toán
When người dùng mở lịch sử thanh toán của hộ
Then mỗi thanh toán hiển thị ngày, số tiền và người thu
AC-US29-03
Given một thanh toán của hộ đã bị hủy
When màn hình tổng quan và lịch sử được hiển thị
Then thanh toán đó hiển thị là đã hủy và không được tính là đã đóng</t>
  </si>
  <si>
    <t>IN_SCOPE. Chồng lấn với RAW-016 và RAW-020. Ranh giới: RAW-018 là chi tiết theo từng hộ và bộ lọc chung; RAW-020 là danh sách hộ chưa đóng để nhắc nhở.</t>
  </si>
  <si>
    <t xml:space="preserve">AC-US30-01
Given các khoản thu và thanh toán tồn tại
When người dùng áp dụng một hoặc nhiều bộ lọc
Then chỉ các bản ghi thỏa mãn tất cả bộ lọc đã chọn được hiển thị
And số lượng kết quả được hiển thị
AC-US30-02
Given không có bản ghi nào thỏa mãn các bộ lọc
When các bộ lọc được áp dụng
Then hệ thống hiển thị thông báo không tìm thấy bản ghi nào</t>
  </si>
  <si>
    <t>Thống kê tổng số tiền đã thu và còn phải thu theo khoản thu, theo tháng hoặc đợt; thống kê tổng thu và danh sách hộ đã đóng theo từng đợt đóng góp.</t>
  </si>
  <si>
    <t xml:space="preserve">AC-US32-01
Given một khoản thu và một kỳ được chọn
When người dùng mở màn hình thống kê
Then tổng số phải thu, tổng số đã thu, số tiền còn lại và số hộ đã đóng, chưa đóng được hiển thị
AC-US32-02
Given các thanh toán tồn tại
When thống kê được hiển thị
Then tổng số đã thu bằng tổng các thanh toán còn hiệu lực (không bị hủy) trong danh sách thanh toán
AC-US32-03
Given không có dữ liệu cho kỳ đã chọn
When thống kê được hiển thị
Then các giá trị 0 được hiển thị thay vì báo lỗi</t>
  </si>
  <si>
    <t>IN_SCOPE. Chỉ có bảng cơ bản; biểu đồ không nằm trong v1.0 (C-06). Cần Product Owner xác nhận các số liệu chính xác.</t>
  </si>
  <si>
    <t xml:space="preserve">AC-US33-01
Given một đợt đóng góp có các khoản đóng góp
When người dùng mở thống kê của đợt đó
Then tổng số tiền đã đóng góp và danh sách các hộ đóng góp cùng số tiền của họ được hiển thị
AC-US33-02
Given một hộ chưa đóng góp
When thống kê của đợt được hiển thị
Then hộ đó không có trong danh sách và không bị đánh dấu là còn nợ</t>
  </si>
  <si>
    <t>Lập danh sách hộ chưa nộp hoặc còn nợ theo kỳ (đối với khoản bắt buộc) để Ban nhắc nộp.</t>
  </si>
  <si>
    <t xml:space="preserve">AC-US31-01
Given một khoản thu và một kỳ được chọn
When người dùng mở danh sách chưa đóng
Then mọi hộ có số tiền còn lại lớn hơn 0 được liệt kê cùng số tiền đó
AC-US31-02
Given một hộ đã đóng đủ
When danh sách chưa đóng được hiển thị
Then hộ đó không có trong danh sách
AC-US31-03
Given một khoản thu tự nguyện được chọn
When danh sách chưa đóng được hiển thị
Then không có hộ nào được liệt kê cho khoản đó</t>
  </si>
  <si>
    <t>IN_SCOPE. Chỉ tính khoản thu bắt buộc (AS-19). Nhắc nhở tự động nằm ngoài v1.0 (C-05); danh sách hỗ trợ việc nhắc thủ công.</t>
  </si>
  <si>
    <t>Thống kê số hộ, số nhân khẩu, số người tạm trú, tạm vắng tại một thời điểm, ghi rõ ngày tính.</t>
  </si>
  <si>
    <t xml:space="preserve">AC-US34-01
Given một ngày được chọn
When người dùng mở thống kê nhân khẩu
Then số hộ gia đình, nhân khẩu, nhân khẩu tạm trú và nhân khẩu tạm vắng được hiển thị cùng ngày đó
AC-US34-02
Given một biến động có hiệu lực sau ngày đã chọn
When thống kê được hiển thị
Then biến động đó không được tính vào các số lượng
AC-US34-03
Given không có ngày nào được chọn
When người dùng mở thống kê nhân khẩu
Then ngày hôm nay được dùng và hiển thị</t>
  </si>
  <si>
    <t>IN_SCOPE. Phụ thuộc dữ liệu biến động có ngày (RAW-007, RAW-008).</t>
  </si>
  <si>
    <t xml:space="preserve">BQT muốn tài khoản được bảo vệ an toàn và hạn chế truy cập trái phép.</t>
  </si>
  <si>
    <t>US-02</t>
  </si>
  <si>
    <t xml:space="preserve">AC-US02-01
Given một tài khoản tồn tại trong cơ sở dữ liệu
When dữ liệu mật khẩu được lưu trữ được kiểm tra
Then mật khẩu chỉ xuất hiện dưới dạng mã băm có salt và không bao giờ ở dạng văn bản đọc được [NFR-001.2]
AC-US02-02
Given một tài khoản đã đạt N lần đăng nhập sai liên tiếp (N = 5, mục tiêu đề xuất, chưa chốt)
When có lần đăng nhập, kể cả với mật khẩu đúng, trong thời gian khóa
Then hệ thống từ chối đăng nhập và thông báo tài khoản đang bị khóa tạm thời [NFR-001.3]
And thời gian khóa là một giá trị có thể cấu hình (chưa chốt)
AC-US02-03
Given một tài khoản có ít hơn N lần đăng nhập sai liên tiếp
When người dùng đăng nhập thành công
Then bộ đếm số lần đăng nhập sai được đặt lại về 0</t>
  </si>
  <si>
    <t>IN_SCOPE. NFR được hiện thực hóa bằng Technical Story US-02; giới hạn khóa N và thời gian khóa là đề xuất hoặc TBD.</t>
  </si>
  <si>
    <t xml:space="preserve">Mỗi loại người dùng chỉ được thực hiện công việc phù hợp với trách nhiệm của mình.</t>
  </si>
  <si>
    <t xml:space="preserve">AC-US05-01
Given một quản trị hệ thống đã đăng nhập
When quản trị viên gán vai trò Quản trị hệ thống hoặc Thủ quỹ cho một tài khoản
Then vai trò được lưu và có hiệu lực từ lần đăng nhập tiếp theo của tài khoản đó
AC-US05-02
Given một người dùng có vai trò Thủ quỹ đã đăng nhập
When người dùng cố tạo hoặc sửa hộ gia đình, nhân khẩu, khoản thu, đơn giá hoặc tài khoản
Then hệ thống từ chối và không có gì bị thay đổi [NFR-002.2]
AC-US05-03
Given một người dùng có vai trò Thủ quỹ đã đăng nhập
When người dùng tìm kiếm hộ gia đình, tra cứu khoản thu và ghi nhận hoặc in thanh toán
Then các chức năng này hoạt động bình thường
AC-US05-04
Given ma trận vai trò – chức năng chưa được xác nhận (OQ-04)
When story được rà soát trước khi kiểm thử
Then Product Owner đã xác nhận ma trận bằng văn bản trong tài liệu dự án [NFR-002.1, chưa chốt]</t>
  </si>
  <si>
    <t>NEEDS_CLARIFICATION. OQ-04 và C-01: danh sách vai trò và ma trận vai trò – chức năng chưa được xác nhận. Story giả định mỗi người một tài khoản (AS-11). Việc quản trị viên quản lý tài khoản được US-41 bao phủ.</t>
  </si>
  <si>
    <t xml:space="preserve">Thông tin cá nhân nhạy cảm chỉ được người có thẩm quyền xem.</t>
  </si>
  <si>
    <t>US-35</t>
  </si>
  <si>
    <t xml:space="preserve">AC-US35-01
Given một nhân khẩu có số giấy tờ tùy thân
When số đó được hiển thị trong danh sách hoặc kết quả tìm kiếm
Then chỉ hiển thị 4 ký tự cuối (mục tiêu đề xuất, chưa chốt) [NFR-003.1]
AC-US35-02
Given một người dùng có vai trò không được phép xem đầy đủ dữ liệu cá nhân
When người dùng mở một nhân khẩu hoặc cố xuất dữ liệu cá nhân
Then số đầy đủ không được hiển thị và việc xuất bị từ chối [NFR-003.2]
AC-US35-03
Given một người dùng có vai trò được phép
When người dùng mở hồ sơ nhân khẩu
Then xem được số đầy đủ</t>
  </si>
  <si>
    <t>NEEDS_CLARIFICATION. OQ-08 và C-03: có lưu số giấy tờ hay không, mức che và ai được xem. Được hiện thực hóa bằng Technical Story.</t>
  </si>
  <si>
    <t xml:space="preserve">BQT muốn biết ai đã thay đổi dữ liệu quan trọng và thay đổi khi nào.</t>
  </si>
  <si>
    <t>US-36</t>
  </si>
  <si>
    <t xml:space="preserve">AC-US36-01
Given một người dùng tạo, sửa hoặc hủy một thanh toán, một hộ gia đình hoặc một nhân khẩu
When thao tác thành công
Then đúng một dòng nhật ký được lưu gồm người dùng, thời gian, loại thao tác, đối tượng, và giá trị trước và sau [NFR-004.1]
AC-US36-02
Given một người dùng xuất dữ liệu
When tệp xuất được tạo
Then một dòng nhật ký ghi lại người dùng, thời gian và phạm vi của lần xuất
AC-US36-03
Given các dòng nhật ký tồn tại
When bất kỳ người dùng nào xem khắp ứng dụng
Then không có chức năng nào cho phép sửa hoặc xóa một dòng nhật ký [NFR-004.2]</t>
  </si>
  <si>
    <t>IN_SCOPE. Được hiện thực hóa bằng một Technical Story (ghi nhận) và một story Could (xem). Thời gian lưu giữ còn mở (OQ-11).</t>
  </si>
  <si>
    <t xml:space="preserve">AC-US37-01
Given các dòng nhật ký tồn tại
When quản trị viên lọc theo người dùng, khoảng ngày hoặc loại thao tác
Then các dòng phù hợp được liệt kê, mới nhất ở trên cùng
AC-US37-02
Given một người dùng không có vai trò quản trị
When người dùng cố mở nhật ký thao tác
Then hệ thống từ chối truy cập</t>
  </si>
  <si>
    <t xml:space="preserve">BQT lo mất dữ liệu và muốn có cách sao lưu, khôi phục khi có sự cố.</t>
  </si>
  <si>
    <t>US-38</t>
  </si>
  <si>
    <t xml:space="preserve">AC-US38-01
Given quản trị viên đã đăng nhập
When quản trị viên bắt đầu sao lưu
Then một tệp sao lưu có dấu thời gian được tạo chỉ bằng một thao tác [NFR-005.1]
AC-US38-02
Given một tệp sao lưu tồn tại
When dữ liệu được khôi phục vào một cơ sở dữ liệu trống
Then số bản ghi của các bảng chính và tổng số tiền đã thu bằng với thời điểm sao lưu [NFR-005.2]
AC-US38-03
Given quản trị viên yêu cầu khôi phục
When việc khôi phục sắp bắt đầu
Then hệ thống yêu cầu xác nhận rõ ràng và cảnh báo rằng dữ liệu hiện tại sẽ bị thay thế
AC-US38-04
Given một người dùng không có vai trò quản trị
When người dùng tìm chức năng sao lưu hoặc khôi phục
Then các chức năng này không khả dụng</t>
  </si>
  <si>
    <t>IN_SCOPE. Được hiện thực hóa bằng một Technical Story; tần suất mặc định hằng ngày là giả định; RTO là TBD.</t>
  </si>
  <si>
    <t xml:space="preserve">Thủ quỹ muốn việc tìm kiếm và mở danh sách không bị chậm khi dữ liệu tăng.</t>
  </si>
  <si>
    <t>US-39</t>
  </si>
  <si>
    <t xml:space="preserve">AC-US39-01
Given bộ dữ liệu giả để trình diễn (đề xuất: 500 hộ, 2.000 nhân khẩu) và tối đa 3 người dùng đồng thời
When một lượt tìm hộ gia đình hoặc nhân khẩu được chạy 30 lần
Then ít nhất 95% số lần chạy trả kết quả trong vòng 3 giây (mục tiêu đề xuất, chưa chốt) [NFR-006.1]
AC-US39-02
Given cùng bộ dữ liệu và cùng số người dùng
When danh sách chưa đóng hoặc một danh sách thanh toán đã lọc được mở 30 lần
Then ít nhất 95% số lần chạy hiển thị danh sách trong vòng 3 giây (mục tiêu đề xuất, chưa chốt) [NFR-006.2]</t>
  </si>
  <si>
    <t>IN_SCOPE. Technical Story với mục tiêu 3 giây và tải demo đề xuất (AS-13, OQ-10); là mục Definition of Done xuyên suốt ở các phase sau.</t>
  </si>
  <si>
    <t xml:space="preserve">Người dùng muốn giao diện tiếng Việt, dễ hiểu và thao tác thu phí đơn giản.</t>
  </si>
  <si>
    <t>US-40</t>
  </si>
  <si>
    <t xml:space="preserve">AC-US40-01
Given bất kỳ màn hình nào của ứng dụng
When màn hình được hiển thị
Then mọi nhãn, menu và thông báo đều bằng tiếng Việt [NFR-007.1]
AC-US40-02
Given một số tiền được hiển thị trên màn hình, biên lai hoặc thống kê
When màn hình được hiển thị
Then số tiền dùng dấu phân tách hàng nghìn và đơn vị VND [NFR-007.2]
AC-US40-03
Given một lỗi nhập liệu như thiếu trường, trùng số căn hộ hoặc số tiền không hợp lệ
When lỗi xảy ra
Then thông báo nêu nguyên nhân và cách khắc phục [NFR-007.3]
AC-US40-04
Given một thành viên nhóm hoặc bạn cùng lớp không viết mã đóng vai thành viên Ban quản trị
When người đó hoàn thành kịch bản thanh toán chuẩn sau một buổi hướng dẫn ngắn
Then kịch bản được hoàn thành (mục tiêu chưa chốt, đề xuất trong 10 phút) và kết quả được ghi là chạy thử theo kịch bản role-play, không phải kiểm thử với người dùng thật [NFR-007.5]</t>
  </si>
  <si>
    <t>IN_SCOPE. Technical Story và acceptance criteria của story ghi nhận thanh toán; mục tiêu 5 bước là đề xuất.</t>
  </si>
  <si>
    <t>RAW-029</t>
  </si>
  <si>
    <t>[Roadmap v2.0] Quản lý phí gửi xe: thu theo tháng theo thông tin phương tiện đăng ký của hộ gia đình.</t>
  </si>
  <si>
    <t>—</t>
  </si>
  <si>
    <t>— (không có User Story)</t>
  </si>
  <si>
    <t>Won't</t>
  </si>
  <si>
    <t>Roadmap</t>
  </si>
  <si>
    <t>ROADMAP. Won't-have cho v1.0. Không tạo Epic, Feature hay User Story. Số tiền phí gửi xe trong đề bài cần được xác nhận.</t>
  </si>
  <si>
    <t>RAW-030</t>
  </si>
  <si>
    <t>[Roadmap v2.0] Quản lý các khoản thu hộ điện, nước, internet theo thông báo của nhà cung cấp dịch vụ.</t>
  </si>
  <si>
    <t>ROADMAP. Won't-have cho v1.0. Không tạo Epic, Feature hay User Story.</t>
  </si>
  <si>
    <t>COVERAGE</t>
  </si>
  <si>
    <t>Tổng số RAW requirement</t>
  </si>
  <si>
    <t>RAW hợp lệ cho v1.0 (không tính ROADMAP)</t>
  </si>
  <si>
    <t>RAW hợp lệ đã truy vết đến một User Story</t>
  </si>
  <si>
    <t>Mức truy vết của RAW hợp lệ</t>
  </si>
  <si>
    <t>100%</t>
  </si>
  <si>
    <t>RAW có User Story / tất cả RAW</t>
  </si>
  <si>
    <t>28 / 30 (93.3%)</t>
  </si>
  <si>
    <t>RAW chưa có User Story</t>
  </si>
  <si>
    <t>RAW-029 (ROADMAP), RAW-030 (ROADMAP)</t>
  </si>
  <si>
    <t>RAW hợp lệ có ít nhất một story trong Sprint 1-3</t>
  </si>
  <si>
    <t>24/28</t>
  </si>
  <si>
    <t>RAW hợp lệ chỉ liên kết với các story chưa xếp Sprint</t>
  </si>
  <si>
    <t>RAW-005, RAW-009, RAW-021, RAW-025</t>
  </si>
  <si>
    <t>Sprint 1 — Nền tảng, tài khoản, quản lý hộ gia đình và nhân khẩu</t>
  </si>
  <si>
    <t>Ước lượng tính theo giờ (số nguyên) và là ước lượng lập kế hoạch ban đầu. Các task được liệt kê theo thứ tự làm việc. Mọi task bắt đầu ở trạng thái Todo; chưa có task nào được đánh dấu Done.</t>
  </si>
  <si>
    <t>Sprint Name</t>
  </si>
  <si>
    <t>Sprint Goal</t>
  </si>
  <si>
    <t>Có nền tảng chạy được cho nhân sự Ban quản trị: đăng nhập, đổi mật khẩu, và quản lý hồ sơ hộ gia đình, nhân khẩu (gồm chuyển đến/đi, sinh, mất, tạm trú). Công việc thu phí sau này bắt đầu từ dữ liệu này nên dữ liệu phải đúng.</t>
  </si>
  <si>
    <t>Expected Increment</t>
  </si>
  <si>
    <t>Một ứng dụng desktop chạy được, kết nối MySQL, có cửa sổ chính và điều hướng. Đăng nhập bằng tài khoản quản trị nạp sẵn, khóa tài khoản sau nhiều lần thất bại, đổi mật khẩu và menu theo vai trò. Có thể thêm, xem và sửa hộ gia đình. Có thể thêm và cập nhật nhân khẩu; ghi nhận được biến động và tạm trú. Có bộ dữ liệu giả để trình diễn. Mọi story được Product Owner nghiệm thu theo Acceptance Criteria.</t>
  </si>
  <si>
    <t>Total Estimate (hours)</t>
  </si>
  <si>
    <t>Stories / Tasks</t>
  </si>
  <si>
    <t>11 story, 55 task</t>
  </si>
  <si>
    <t>Sprint length and dates</t>
  </si>
  <si>
    <t>Chưa chốt. docs/02 đề xuất một tuần, nhưng độ dài và hạn nộp vẫn là câu hỏi mở (SQ-02). Kế hoạch này không giả định ngày nào.</t>
  </si>
  <si>
    <t>Các story cam kết trong sprint này (từ Product_Backlog)</t>
  </si>
  <si>
    <t>Why in this sprint</t>
  </si>
  <si>
    <t>Là cửa vào; mọi story khác đều cần người dùng đã đăng nhập.</t>
  </si>
  <si>
    <t>Mật khẩu phải được băm trước khi có tài khoản nào ngoài tài khoản nạp sẵn; dựa trên US-01.</t>
  </si>
  <si>
    <t>Là hạng mục phạm vi v1.0 được nêu rõ; nhỏ và chỉ cần US-01.</t>
  </si>
  <si>
    <t>Là gốc của dữ liệu hộ; khoản thu, khoản phải thu và tìm kiếm đều phụ thuộc vào nó.</t>
  </si>
  <si>
    <t>Dữ liệu nhân khẩu dựa trên hộ gia đình; biến động và tạm trú cần nó.</t>
  </si>
  <si>
    <t>Cần dữ liệu hộ gia đình và nhân khẩu được tạo trong sprint này.</t>
  </si>
  <si>
    <t>Sửa diện tích sớm giúp tránh khoản phải thu sai ở Sprint 2.</t>
  </si>
  <si>
    <t>Cùng dữ liệu với US-10; hoàn thiện việc cập nhật nhân khẩu.</t>
  </si>
  <si>
    <t>Là story lớn nhất của Sprint 1; bắt đầu sớm để có thời gian rà soát và sửa lỗi.</t>
  </si>
  <si>
    <t>Hoàn thiện phần quản lý nhân khẩu được nêu trong đề bài.</t>
  </si>
  <si>
    <t>Là nền tảng cho việc kiểm tra quyền; đặt cuối sprint để áp dụng được cho các màn hình đã làm. Các màn hình sau dùng việc kiểm tra này trong các task của chính chúng.</t>
  </si>
  <si>
    <t>Sprint Backlog tasks</t>
  </si>
  <si>
    <t>Task ID</t>
  </si>
  <si>
    <t>Task Description</t>
  </si>
  <si>
    <t>Assignee</t>
  </si>
  <si>
    <t>Reviewer</t>
  </si>
  <si>
    <t>Estimate (h)</t>
  </si>
  <si>
    <t>Dependency</t>
  </si>
  <si>
    <t>Deliverable</t>
  </si>
  <si>
    <t>S1-T01</t>
  </si>
  <si>
    <t>Thiết lập repository dùng chung với nhánh main, quy tắc đặt tên nhánh và mẫu pull request (docs/02, mục 7)</t>
  </si>
  <si>
    <t>Châu Tuấn</t>
  </si>
  <si>
    <t>Thanh Tuấn</t>
  </si>
  <si>
    <t>Repository có mẫu PR và quy tắc nhánh trong README</t>
  </si>
  <si>
    <t>Todo</t>
  </si>
  <si>
    <t>Xuyên suốt. Cần nhóm thống nhất SQ-03 trước. Kế hoạch này không tạo GitHub Project.</t>
  </si>
  <si>
    <t>S1-T02</t>
  </si>
  <si>
    <t>Tạo khung dự án desktop Java với các package cho màn hình, service và truy cập dữ liệu</t>
  </si>
  <si>
    <t>Thành Nam</t>
  </si>
  <si>
    <t>Đức Quang</t>
  </si>
  <si>
    <t>Dự án rỗng build được trong repository</t>
  </si>
  <si>
    <t>Cross-cutting.</t>
  </si>
  <si>
    <t>S1-T03</t>
  </si>
  <si>
    <t>Chuẩn bị mẫu cấu hình kết nối MySQL (không chứa thông tin đăng nhập thật) và quy tắc đặt tên cho các script schema</t>
  </si>
  <si>
    <t>Mạnh Trường</t>
  </si>
  <si>
    <t>Mẫu cấu hình, mục .gitignore cho file cấu hình cục bộ, thư mục script</t>
  </si>
  <si>
    <t>S1-T04</t>
  </si>
  <si>
    <t>Xây dựng cửa sổ chính với menu điều hướng và các vùng giữ chỗ trống cho Hộ gia đình, Nhân khẩu, Khoản thu, Tìm kiếm và Thống kê</t>
  </si>
  <si>
    <t>Tiến Thành</t>
  </si>
  <si>
    <t>Cửa sổ chính mở ra sau khi đăng nhập</t>
  </si>
  <si>
    <t>S1-T05</t>
  </si>
  <si>
    <t>Hoàn thiện danh sách kiểm Definition of Done cho các task code và mẫu bản ghi kết quả kiểm thử</t>
  </si>
  <si>
    <t>Mục DoD được cập nhật trong docs/02 và mẫu kết quả kiểm thử</t>
  </si>
  <si>
    <t>Xuyên suốt. DoD là bản nháp trong docs/02 cho đến khi bắt đầu viết code.</t>
  </si>
  <si>
    <t>S1-T06</t>
  </si>
  <si>
    <t>Tạo bảng tài khoản (tên đăng nhập, mã băm mật khẩu, vai trò, cờ hoạt động) cùng script SQL</t>
  </si>
  <si>
    <t>Script SQL cho bảng tài khoản</t>
  </si>
  <si>
    <t>S1-T07</t>
  </si>
  <si>
    <t>Cài đặt tiện ích băm mật khẩu có salt và kiểm tra mật khẩu</t>
  </si>
  <si>
    <t>Tiện ích băm kèm một bài test ngắn</t>
  </si>
  <si>
    <t>Cũng cung cấp AC-US02-01 (mật khẩu chỉ được lưu dưới dạng mã băm); US-02 xây dựng trên đó.</t>
  </si>
  <si>
    <t>S1-T08</t>
  </si>
  <si>
    <t>Nạp sẵn tài khoản quản trị ban đầu từ một cấu hình cục bộ để không commit mật khẩu nào</t>
  </si>
  <si>
    <t>S1-T06, S1-T07</t>
  </si>
  <si>
    <t>Script nạp dữ liệu và ghi chú về nơi đặt mật khẩu ban đầu</t>
  </si>
  <si>
    <t>Tài khoản quản trị nạp sẵn là một giả định (xem ghi chú Product_Backlog của US-41).</t>
  </si>
  <si>
    <t>S1-T09</t>
  </si>
  <si>
    <t>Xây dựng màn hình đăng nhập (tên đăng nhập, mật khẩu, nút đăng nhập) với nhãn tiếng Việt</t>
  </si>
  <si>
    <t>Màn hình đăng nhập</t>
  </si>
  <si>
    <t>S1-T10</t>
  </si>
  <si>
    <t>Cài đặt việc kiểm tra thông tin đăng nhập, một thông báo lỗi chung cho mọi trường hợp thất bại và việc chặn mọi màn hình quản lý trước khi đăng nhập</t>
  </si>
  <si>
    <t>S1-T06, S1-T07, S1-T08, S1-T09</t>
  </si>
  <si>
    <t>Luồng đăng nhập chạy được</t>
  </si>
  <si>
    <t>S1-T11</t>
  </si>
  <si>
    <t>Viết và chạy test case cho AC-US01-01..03 và ghi lại kết quả</t>
  </si>
  <si>
    <t>S1-T10, S1-T05</t>
  </si>
  <si>
    <t>Biên bản kiểm thử cho US-01</t>
  </si>
  <si>
    <t>S1-T12</t>
  </si>
  <si>
    <t>Đếm số lần đăng nhập sai liên tiếp của từng tài khoản và khóa tài khoản trong một khoảng thời gian sau khi đạt giới hạn</t>
  </si>
  <si>
    <t>Logic khóa đọc giới hạn và thời gian từ cấu hình</t>
  </si>
  <si>
    <t>Giới hạn 5 và thời gian khóa là đề xuất, chưa chốt (NFR-001.3).</t>
  </si>
  <si>
    <t>S1-T13</t>
  </si>
  <si>
    <t>Kiểm tra trong cơ sở dữ liệu rằng không có mật khẩu nào đọc được và các thông báo đăng nhập sai không tiết lộ gì về tài khoản</t>
  </si>
  <si>
    <t>Biên bản kiểm tra bảo mật ngắn</t>
  </si>
  <si>
    <t>S1-T14</t>
  </si>
  <si>
    <t>Viết và chạy test case cho AC-US02-01..03 (lưu mã băm, khóa, mở khóa)</t>
  </si>
  <si>
    <t>Biên bản kiểm thử cho US-02</t>
  </si>
  <si>
    <t>S1-T15</t>
  </si>
  <si>
    <t>Xây dựng form đổi mật khẩu (mật khẩu hiện tại, mật khẩu mới và xác nhận mật khẩu mới)</t>
  </si>
  <si>
    <t>Màn hình đổi mật khẩu</t>
  </si>
  <si>
    <t>S1-T16</t>
  </si>
  <si>
    <t>Cài đặt việc kiểm tra mật khẩu hiện tại và quy tắc mật khẩu, và cập nhật mã băm đã lưu</t>
  </si>
  <si>
    <t>S1-T07, S1-T15</t>
  </si>
  <si>
    <t>Chức năng đổi mật khẩu chạy được</t>
  </si>
  <si>
    <t>Quy tắc mật khẩu (đề xuất: tối thiểu 8 ký tự) chưa chốt.</t>
  </si>
  <si>
    <t>S1-T17</t>
  </si>
  <si>
    <t>Viết và chạy test case cho trường hợp sai mật khẩu hiện tại, vi phạm quy tắc và thành công</t>
  </si>
  <si>
    <t>Biên bản kiểm thử cho US-03</t>
  </si>
  <si>
    <t>S1-T18</t>
  </si>
  <si>
    <t>Thiết kế bảng hộ gia đình (số căn hộ duy nhất, chủ hộ, diện tích, liên hệ, trạng thái) và viết script cho bảng</t>
  </si>
  <si>
    <t>Script SQL cho bảng hộ gia đình</t>
  </si>
  <si>
    <t>S1-T19</t>
  </si>
  <si>
    <t>Xây dựng form thêm hộ gia đình</t>
  </si>
  <si>
    <t>S1-T04, S1-T18</t>
  </si>
  <si>
    <t>Màn hình thêm hộ gia đình</t>
  </si>
  <si>
    <t>S1-T20</t>
  </si>
  <si>
    <t>Cài đặt việc kiểm tra dữ liệu (trường bắt buộc, diện tích dương, số căn hộ duy nhất) và lưu hộ gia đình</t>
  </si>
  <si>
    <t>S1-T18, S1-T19</t>
  </si>
  <si>
    <t>Chức năng thêm hộ gia đình chạy được</t>
  </si>
  <si>
    <t>S1-T21</t>
  </si>
  <si>
    <t>Viết và chạy test case cho AC-US06-01..03</t>
  </si>
  <si>
    <t>Biên bản kiểm thử cho US-06</t>
  </si>
  <si>
    <t>S1-T22</t>
  </si>
  <si>
    <t>Thiết kế bảng nhân khẩu (họ tên, ngày sinh, giới tính, quan hệ với chủ hộ, số giấy tờ tùy chọn, trạng thái) liên kết với một hộ gia đình</t>
  </si>
  <si>
    <t>Script SQL cho bảng nhân khẩu</t>
  </si>
  <si>
    <t>S1-T23</t>
  </si>
  <si>
    <t>Xây dựng form thêm nhân khẩu</t>
  </si>
  <si>
    <t>S1-T04, S1-T22</t>
  </si>
  <si>
    <t>Màn hình thêm nhân khẩu</t>
  </si>
  <si>
    <t>S1-T24</t>
  </si>
  <si>
    <t>Cài đặt việc kiểm tra dữ liệu (trường bắt buộc, số giấy tờ tùy chọn) và lưu nhân khẩu vào một hộ gia đình</t>
  </si>
  <si>
    <t>S1-T22, S1-T23, S1-T20</t>
  </si>
  <si>
    <t>Chức năng thêm nhân khẩu chạy được</t>
  </si>
  <si>
    <t>Số giấy tờ được hiển thị đầy đủ cho đến khi có US-35 (chưa xếp kế hoạch): chỉ dùng số giả trong dữ liệu trình diễn.</t>
  </si>
  <si>
    <t>S1-T25</t>
  </si>
  <si>
    <t>Viết và chạy test case cho AC-US10-01..03</t>
  </si>
  <si>
    <t>Biên bản kiểm thử cho US-10</t>
  </si>
  <si>
    <t>S1-T26</t>
  </si>
  <si>
    <t>Viết script tạo bộ dữ liệu trình diễn giả (hộ gia đình và nhân khẩu chỉ dùng tên tự đặt)</t>
  </si>
  <si>
    <t>S1-T20, S1-T24</t>
  </si>
  <si>
    <t>Script dữ liệu, ghi rõ là dữ liệu giả</t>
  </si>
  <si>
    <t>Xuyên suốt. PO cũng xác nhận không dùng dữ liệu cư dân thật (DoD trong docs/02).</t>
  </si>
  <si>
    <t>S1-T27</t>
  </si>
  <si>
    <t>Xây dựng màn hình chi tiết hộ gia đình với danh sách nhân khẩu và thông báo khi danh sách rỗng</t>
  </si>
  <si>
    <t>Màn hình chi tiết hộ gia đình</t>
  </si>
  <si>
    <t>S1-T28</t>
  </si>
  <si>
    <t>Cài đặt việc tải một hộ gia đình cùng các nhân khẩu của hộ</t>
  </si>
  <si>
    <t>S1-T18, S1-T22</t>
  </si>
  <si>
    <t>Chức năng xem chi tiết hộ gia đình chạy được</t>
  </si>
  <si>
    <t>S1-T29</t>
  </si>
  <si>
    <t>Viết và chạy test case cho AC-US07-01..02</t>
  </si>
  <si>
    <t>S1-T27, S1-T28</t>
  </si>
  <si>
    <t>Biên bản kiểm thử cho US-07</t>
  </si>
  <si>
    <t>S1-T30</t>
  </si>
  <si>
    <t>Xây dựng form sửa hộ gia đình</t>
  </si>
  <si>
    <t>Màn hình sửa hộ gia đình</t>
  </si>
  <si>
    <t>S1-T31</t>
  </si>
  <si>
    <t>Cài đặt việc kiểm tra và lưu diện tích, chủ hộ hoặc thông tin liên hệ đã sửa, và ghi lại ảnh hưởng đến các khoản phải thu sau này (OQ-14)</t>
  </si>
  <si>
    <t>Chức năng sửa chạy được và một ghi chú ngắn về quy tắc</t>
  </si>
  <si>
    <t>S1-T32</t>
  </si>
  <si>
    <t>Viết và chạy test case cho AC-US08-01..03</t>
  </si>
  <si>
    <t>Biên bản kiểm thử cho US-08</t>
  </si>
  <si>
    <t>S1-T33</t>
  </si>
  <si>
    <t>Xây dựng form sửa nhân khẩu</t>
  </si>
  <si>
    <t>Màn hình sửa nhân khẩu</t>
  </si>
  <si>
    <t>S1-T34</t>
  </si>
  <si>
    <t>Cài đặt việc kiểm tra và lưu thay đổi của nhân khẩu, không cung cấp thao tác xóa</t>
  </si>
  <si>
    <t>Chức năng sửa chạy được</t>
  </si>
  <si>
    <t>S1-T35</t>
  </si>
  <si>
    <t>Viết và chạy test case cho AC-US11-01..03</t>
  </si>
  <si>
    <t>Biên bản kiểm thử cho US-11</t>
  </si>
  <si>
    <t>S1-T36</t>
  </si>
  <si>
    <t>Thống nhất với PO các loại biến động và quy tắc (chuyển đến, chuyển đi, sinh, mất) và ghi lại các điểm còn mở của OQ-13</t>
  </si>
  <si>
    <t>Ghi chú quy tắc biến động trong phần ghi chú AC</t>
  </si>
  <si>
    <t>S1-T37</t>
  </si>
  <si>
    <t>Thiết kế bảng biến động và quy tắc trạng thái nhân khẩu thay đổi theo ngày hiệu lực</t>
  </si>
  <si>
    <t>S1-T22, S1-T36</t>
  </si>
  <si>
    <t>Script SQL và một ghi chú thiết kế ngắn</t>
  </si>
  <si>
    <t>S1-T38</t>
  </si>
  <si>
    <t>Xây dựng form biến động (loại, ngày, lý do)</t>
  </si>
  <si>
    <t>S1-T37, S1-T04</t>
  </si>
  <si>
    <t>Màn hình biến động</t>
  </si>
  <si>
    <t>S1-T39</t>
  </si>
  <si>
    <t>Cài đặt việc lưu biến động và cập nhật trạng thái nhân khẩu theo ngày hiệu lực</t>
  </si>
  <si>
    <t>S1-T37, S1-T38</t>
  </si>
  <si>
    <t>Chức năng biến động chạy được</t>
  </si>
  <si>
    <t>Là task lớn nhất của sprint; logic ngày hiệu lực là phần việc chính.</t>
  </si>
  <si>
    <t>S1-T40</t>
  </si>
  <si>
    <t>Viết và chạy test case cho từng loại biến động và cho biến động có ngày trong tương lai</t>
  </si>
  <si>
    <t>Biên bản kiểm thử cho US-12</t>
  </si>
  <si>
    <t>S1-T41</t>
  </si>
  <si>
    <t>Thêm các trường tạm trú và tạm vắng (loại, ngày bắt đầu, ngày kết thúc, lý do) vào mô hình dữ liệu</t>
  </si>
  <si>
    <t>Script SQL</t>
  </si>
  <si>
    <t>S1-T42</t>
  </si>
  <si>
    <t>Xây dựng form tạm trú và tạm vắng</t>
  </si>
  <si>
    <t>S1-T41, S1-T04</t>
  </si>
  <si>
    <t>Màn hình tạm trú</t>
  </si>
  <si>
    <t>S1-T43</t>
  </si>
  <si>
    <t>Cài đặt việc lưu khoảng thời gian và đánh dấu các khoảng đã hết hạn trong danh sách nhân khẩu</t>
  </si>
  <si>
    <t>S1-T41, S1-T42, S1-T24</t>
  </si>
  <si>
    <t>Chức năng tạm trú chạy được</t>
  </si>
  <si>
    <t>S1-T44</t>
  </si>
  <si>
    <t>Viết và chạy test case cho AC-US14-01..03</t>
  </si>
  <si>
    <t>Biên bản kiểm thử cho US-14</t>
  </si>
  <si>
    <t>S1-T45</t>
  </si>
  <si>
    <t>Thống nhất với PO danh sách vai trò và ma trận vai trò – chức năng, và ghi lại các điểm còn mở của OQ-04</t>
  </si>
  <si>
    <t>Bảng ma trận vai trò trong phần ghi chú AC</t>
  </si>
  <si>
    <t>S1-T46</t>
  </si>
  <si>
    <t>Thêm vai trò vào tài khoản và thao tác của quản trị viên để gán vai trò</t>
  </si>
  <si>
    <t>S1-T06, S1-T45</t>
  </si>
  <si>
    <t>Chức năng gán vai trò chạy được</t>
  </si>
  <si>
    <t>S1-T47</t>
  </si>
  <si>
    <t>Cài đặt việc kiểm tra quyền, quyết định vai trò nào được dùng chức năng nào</t>
  </si>
  <si>
    <t>Việc kiểm tra quyền được các màn hình sử dụng</t>
  </si>
  <si>
    <t>S1-T48</t>
  </si>
  <si>
    <t>Áp dụng việc kiểm tra quyền cho các màn hình hộ gia đình, nhân khẩu và biến động, và ẩn các mục menu mà vai trò không được dùng</t>
  </si>
  <si>
    <t>S1-T47, S1-T19, S1-T23, S1-T38, S1-T42</t>
  </si>
  <si>
    <t>Màn hình và menu theo vai trò</t>
  </si>
  <si>
    <t>Các màn hình thêm ở Sprint 2 và 3 áp dụng việc kiểm tra trong task của chính chúng; Sprint 3 kiểm tra lại mọi màn hình.</t>
  </si>
  <si>
    <t>S1-T49</t>
  </si>
  <si>
    <t>Viết và chạy test case cho từng ô bị cấm của ma trận vai trò trên các màn hình Sprint 1</t>
  </si>
  <si>
    <t>Biên bản kiểm thử cho US-05</t>
  </si>
  <si>
    <t>S1-T50</t>
  </si>
  <si>
    <t>Chạy kiểm tra từ đầu đến cuối trên bộ dữ liệu trình diễn: đăng nhập, thêm hộ gia đình và nhân khẩu, ghi nhận biến động và tạm trú; ghi lại lỗi</t>
  </si>
  <si>
    <t>S1-T39, S1-T43, S1-T48, S1-T26</t>
  </si>
  <si>
    <t>Biên bản kiểm tra và danh sách lỗi</t>
  </si>
  <si>
    <t>Kiểm tra tích hợp xuyên suốt.</t>
  </si>
  <si>
    <t>S1-T51</t>
  </si>
  <si>
    <t>Sửa các lỗi tìm thấy trong lần kiểm tra từ đầu đến cuối của Sprint 1 và trong các buổi rà soát task</t>
  </si>
  <si>
    <t>Lỗi đã đóng hoặc đã ghi lại</t>
  </si>
  <si>
    <t>Xuyên suốt. Cố ý giữ nhỏ; các lỗi lớn hơn quay về Product Backlog.</t>
  </si>
  <si>
    <t>S1-T52</t>
  </si>
  <si>
    <t>US-01, US-02, US-03, US-05</t>
  </si>
  <si>
    <t>PO nghiệm thu US-01, US-02, US-03 và US-05 theo Acceptance Criteria của từng story</t>
  </si>
  <si>
    <t>S1-T11, S1-T14, S1-T17, S1-T49</t>
  </si>
  <si>
    <t>Quyết định nghiệm thu cho từng story</t>
  </si>
  <si>
    <t>PO chỉ nghiệm thu một story sau khi người rà soát task đã duyệt (docs/02, mục 4).</t>
  </si>
  <si>
    <t>S1-T53</t>
  </si>
  <si>
    <t>US-06, US-10, US-07, US-08, US-11</t>
  </si>
  <si>
    <t>PO nghiệm thu US-06, US-07, US-08, US-10 và US-11 theo Acceptance Criteria của từng story</t>
  </si>
  <si>
    <t>S1-T21, S1-T25, S1-T29, S1-T32, S1-T35</t>
  </si>
  <si>
    <t>S1-T54</t>
  </si>
  <si>
    <t>PO nghiệm thu US-12 và US-14 theo Acceptance Criteria của từng story</t>
  </si>
  <si>
    <t>S1-T40, S1-T44</t>
  </si>
  <si>
    <t>S1-T55</t>
  </si>
  <si>
    <t>Chuẩn bị buổi demo cho Sprint 1 Review và cập nhật bảng công việc với những gì đã đạt Done</t>
  </si>
  <si>
    <t>S1-T52, S1-T53, S1-T54</t>
  </si>
  <si>
    <t>Kịch bản demo và bảng công việc đã cập nhật</t>
  </si>
  <si>
    <t>Sprint 2 — Quản lý khoản thu và thu phí</t>
  </si>
  <si>
    <t>Để người thu phí định nghĩa các khoản thu, tạo khoản phải thu của từng hộ và ghi nhận thanh toán đủ, một phần và tự nguyện với trạng thái thanh toán đúng, để Ban quản trị không còn phải tính và theo dõi thanh toán bằng tay. Có thể sửa các thanh toán và biên lai sai, và quản trị viên quản lý được tài khoản.</t>
  </si>
  <si>
    <t>Khoản thu có thể được tạo, thay đổi và dừng mà không mất lịch sử đơn giá. Khoản phải thu theo hộ và theo kỳ được tạo kèm bảng diễn giải rõ ràng. Thanh toán (đủ, một phần, tự nguyện) được ghi nhận và trạng thái thanh toán được cập nhật; thanh toán sai có thể được sửa hoặc hủy kèm lý do; có thể in biên lai. Quản trị viên tạo và vô hiệu hóa được tài khoản và đặt lại mật khẩu. Tất cả đều xây dựng trên dữ liệu hộ gia đình và tài khoản của Sprint 1.</t>
  </si>
  <si>
    <t>10 story, 46 task</t>
  </si>
  <si>
    <t>Khoản thu phải có trước khi tạo khoản phải thu hoặc thanh toán. Không phụ thuộc Sprint 1 ngoài việc đăng nhập.</t>
  </si>
  <si>
    <t>Việc quản lý phiên bản đơn giá phải có trước khi tạo khoản phải thu.</t>
  </si>
  <si>
    <t>Cần hộ gia đình (Sprint 1) và khoản thu; thanh toán cần khoản phải thu.</t>
  </si>
  <si>
    <t>Là màn hình nhỏ xây trên US-19; rẻ khi US-19 vừa làm xong.</t>
  </si>
  <si>
    <t>Là luồng nghiệp vụ trung tâm; cần khoản phải thu.</t>
  </si>
  <si>
    <t>Xây dựng trên US-22; thanh toán thiếu là trường hợp có thật.</t>
  </si>
  <si>
    <t>Cần khoản thu và luồng ghi nhận thanh toán.</t>
  </si>
  <si>
    <t>Xây dựng trên US-22; mở khóa các trường hợp thanh toán đã hủy trong các story ở Sprint 3.</t>
  </si>
  <si>
    <t>Cần các thanh toán đã ghi nhận và trạng thái đã hủy của US-26.</t>
  </si>
  <si>
    <t>Cần đăng nhập và vai trò từ Sprint 1. Đặt ở Sprint 2 để Sprint 1 có khối lượng tương đương các sprint khác; buổi demo Sprint 1 dùng tài khoản quản trị nạp sẵn.</t>
  </si>
  <si>
    <t>S2-T01</t>
  </si>
  <si>
    <t>Thiết kế bảng khoản thu (tên, loại bắt buộc hay tự nguyện, kỳ hoặc đợt, đơn giá hoặc số tiền, hạn nộp, trạng thái) và viết script cho bảng</t>
  </si>
  <si>
    <t>Script SQL cho bảng khoản thu</t>
  </si>
  <si>
    <t>Miễn giảm và giá đặc biệt không nằm trong v1.0 (OQ-02, OQ-03).</t>
  </si>
  <si>
    <t>S2-T02</t>
  </si>
  <si>
    <t>Xây dựng form tạo khoản thu có các trường thay đổi theo loại khoản thu</t>
  </si>
  <si>
    <t>Màn hình tạo khoản thu</t>
  </si>
  <si>
    <t>S2-T03</t>
  </si>
  <si>
    <t>Cài đặt việc kiểm tra dữ liệu theo loại khoản thu và chặn khoản thu trùng trong cùng kỳ</t>
  </si>
  <si>
    <t>S2-T01, S2-T02</t>
  </si>
  <si>
    <t>Chức năng tạo khoản thu chạy được</t>
  </si>
  <si>
    <t>S2-T04</t>
  </si>
  <si>
    <t>Viết và chạy test case cho AC-US16-01..04</t>
  </si>
  <si>
    <t>Biên bản kiểm thử cho US-16</t>
  </si>
  <si>
    <t>S2-T05</t>
  </si>
  <si>
    <t>Thêm quản lý phiên bản đơn giá để các khoản phải thu đã tạo giữ nguyên đơn giá lúc được tạo</t>
  </si>
  <si>
    <t>Script SQL và quy tắc dữ liệu</t>
  </si>
  <si>
    <t>S2-T06</t>
  </si>
  <si>
    <t>Xây dựng form sửa khoản thu kèm thao tác vô hiệu hóa</t>
  </si>
  <si>
    <t>Màn hình sửa khoản thu</t>
  </si>
  <si>
    <t>S2-T07</t>
  </si>
  <si>
    <t>Cài đặt việc đổi giá hoặc hạn nộp, dừng một khoản thu và chặn xóa khoản thu đã được sử dụng</t>
  </si>
  <si>
    <t>S2-T05, S2-T06</t>
  </si>
  <si>
    <t>Chức năng sửa và vô hiệu hóa chạy được</t>
  </si>
  <si>
    <t>S2-T08</t>
  </si>
  <si>
    <t>Viết và chạy test case cho AC-US17-01..03</t>
  </si>
  <si>
    <t>Biên bản kiểm thử cho US-17</t>
  </si>
  <si>
    <t>S2-T09</t>
  </si>
  <si>
    <t>Thống nhất với PO quy tắc làm tròn VND và ghi vào phần ghi chú AC (hiện chưa chốt)</t>
  </si>
  <si>
    <t>Ghi chú quy tắc làm tròn</t>
  </si>
  <si>
    <t>S2-T10</t>
  </si>
  <si>
    <t>Thiết kế bảng khoản phải thu (hộ, khoản thu, số tiền phải đóng, diện tích đã lưu, đơn giá và cách làm tròn)</t>
  </si>
  <si>
    <t>S2-T01, US-06 (Sprint 1)</t>
  </si>
  <si>
    <t>Script SQL cho bảng khoản phải thu</t>
  </si>
  <si>
    <t>S2-T11</t>
  </si>
  <si>
    <t>Cài đặt phép tính số tiền diện tích × đơn giá với cách làm tròn đã thống nhất</t>
  </si>
  <si>
    <t>S2-T09, S2-T10, S2-T05, US-06 (Sprint 1)</t>
  </si>
  <si>
    <t>Chức năng tính tiền chạy được</t>
  </si>
  <si>
    <t>S2-T12</t>
  </si>
  <si>
    <t>Cài đặt việc chống trùng cho cùng khoản thu và kỳ</t>
  </si>
  <si>
    <t>Chức năng kiểm tra trùng chạy được</t>
  </si>
  <si>
    <t>S2-T13</t>
  </si>
  <si>
    <t>Xây dựng màn hình tạo khoản phải thu, liệt kê các hộ có diện tích không hợp lệ</t>
  </si>
  <si>
    <t>S2-T11, S2-T12</t>
  </si>
  <si>
    <t>Màn hình tạo khoản phải thu</t>
  </si>
  <si>
    <t>S2-T14</t>
  </si>
  <si>
    <t>Viết và chạy test case cho AC-US19-01..03 trên bộ dữ liệu trình diễn</t>
  </si>
  <si>
    <t>Biên bản kiểm thử cho US-19</t>
  </si>
  <si>
    <t>S2-T15</t>
  </si>
  <si>
    <t>Xây dựng màn hình diễn giải (diện tích × đơn giá = số tiền phải đóng) cho khoản phải thu của một hộ</t>
  </si>
  <si>
    <t>Màn hình diễn giải</t>
  </si>
  <si>
    <t>S2-T16</t>
  </si>
  <si>
    <t>Viết và chạy test case cho AC-US20-01..02</t>
  </si>
  <si>
    <t>Biên bản kiểm thử cho US-20</t>
  </si>
  <si>
    <t>S2-T17</t>
  </si>
  <si>
    <t>Thiết kế bảng thanh toán (hộ, khoản thu, số tiền, ngày, hình thức, người ghi nhận)</t>
  </si>
  <si>
    <t>Script SQL cho bảng thanh toán</t>
  </si>
  <si>
    <t>S2-T18</t>
  </si>
  <si>
    <t>Xây dựng form ghi nhận thanh toán (hộ, khoản thu, số tiền, ngày, hình thức)</t>
  </si>
  <si>
    <t>Màn hình ghi nhận thanh toán</t>
  </si>
  <si>
    <t>S2-T19</t>
  </si>
  <si>
    <t>Cài đặt việc kiểm tra hộ, khoản thu và số tiền, và lưu một thanh toán</t>
  </si>
  <si>
    <t>S2-T17, S2-T18, S2-T11</t>
  </si>
  <si>
    <t>Chức năng ghi nhận thanh toán chạy được</t>
  </si>
  <si>
    <t>S2-T20</t>
  </si>
  <si>
    <t>Cài đặt trạng thái thanh toán của một khoản thu cho một hộ sau mỗi lần thanh toán</t>
  </si>
  <si>
    <t>Trạng thái thanh toán chạy được</t>
  </si>
  <si>
    <t>S2-T21</t>
  </si>
  <si>
    <t>Kiểm tra việc ghi nhận một thanh toán cần bao nhiêu bước, so với mục tiêu 5 bước (NFR-007.4) và ghi chú các cải tiến</t>
  </si>
  <si>
    <t>Ghi chú kết quả ngắn</t>
  </si>
  <si>
    <t>S2-T22</t>
  </si>
  <si>
    <t>Viết và chạy test case cho AC-US22-01..04</t>
  </si>
  <si>
    <t>Biên bản kiểm thử cho US-22</t>
  </si>
  <si>
    <t>S2-T23</t>
  </si>
  <si>
    <t>Hỗ trợ nhiều thanh toán cho một khoản phải thu và tính số tiền còn lại</t>
  </si>
  <si>
    <t>Chức năng thanh toán một phần chạy được</t>
  </si>
  <si>
    <t>S2-T24</t>
  </si>
  <si>
    <t>Thêm trạng thái Đóng một phần vào phép tính trạng thái và các màn hình</t>
  </si>
  <si>
    <t>Trạng thái hiển thị trên các màn hình</t>
  </si>
  <si>
    <t>S2-T25</t>
  </si>
  <si>
    <t>Viết và chạy test case cho AC-US23-01..03</t>
  </si>
  <si>
    <t>Biên bản kiểm thử cho US-23</t>
  </si>
  <si>
    <t>Quy tắc nộp thừa và nộp trước chưa chốt (OQ-05).</t>
  </si>
  <si>
    <t>S2-T26</t>
  </si>
  <si>
    <t>Cho phép nhập số tiền dương bất kỳ cho khoản thu tự nguyện và coi đó là khoản không phải nợ trong các phép tính</t>
  </si>
  <si>
    <t>S2-T03, S2-T19</t>
  </si>
  <si>
    <t>Chức năng thanh toán tự nguyện chạy được</t>
  </si>
  <si>
    <t>S2-T27</t>
  </si>
  <si>
    <t>Loại các khoản thu tự nguyện khỏi các phép tính nợ và chưa đóng</t>
  </si>
  <si>
    <t>Phép tính loại trừ khoản thu tự nguyện</t>
  </si>
  <si>
    <t>S2-T28</t>
  </si>
  <si>
    <t>Viết và chạy test case cho AC-US21-01..03</t>
  </si>
  <si>
    <t>Biên bản kiểm thử cho US-21</t>
  </si>
  <si>
    <t>S2-T29</t>
  </si>
  <si>
    <t>Thống nhất với PO việc một thanh toán được sửa hoặc hủy làm thay đổi trạng thái khoản thu như thế nào (OQ-14)</t>
  </si>
  <si>
    <t>Ghi chú quy tắc tính lại</t>
  </si>
  <si>
    <t>S2-T30</t>
  </si>
  <si>
    <t>Thêm trạng thái Đã hủy và trường lý do, và giữ lại giá trị cũ của thanh toán đã sửa</t>
  </si>
  <si>
    <t>S2-T19, S2-T29</t>
  </si>
  <si>
    <t>S2-T31</t>
  </si>
  <si>
    <t>Xây dựng các thao tác sửa và hủy trên lịch sử thanh toán</t>
  </si>
  <si>
    <t>Màn hình sửa và hủy</t>
  </si>
  <si>
    <t>S2-T32</t>
  </si>
  <si>
    <t>Cài đặt việc tính lại trạng thái khoản thu sau khi sửa hoặc hủy</t>
  </si>
  <si>
    <t>S2-T30, S2-T23</t>
  </si>
  <si>
    <t>Chức năng tính lại chạy được</t>
  </si>
  <si>
    <t>S2-T33</t>
  </si>
  <si>
    <t>Viết và chạy test case cho AC-US26-01..04</t>
  </si>
  <si>
    <t>S2-T31, S2-T32</t>
  </si>
  <si>
    <t>Biên bản kiểm thử cho US-26</t>
  </si>
  <si>
    <t>S2-T34</t>
  </si>
  <si>
    <t>Thống nhất với PO mẫu biên lai (OQ-06): các trường và định dạng VND</t>
  </si>
  <si>
    <t>Ghi chú mẫu biên lai</t>
  </si>
  <si>
    <t>S2-T35</t>
  </si>
  <si>
    <t>Tạo biên lai in được cho một thanh toán và đánh dấu rõ thanh toán đã hủy</t>
  </si>
  <si>
    <t>S2-T19, S2-T30, S2-T34</t>
  </si>
  <si>
    <t>Biên lai in được</t>
  </si>
  <si>
    <t>AC-US25-02 (thanh toán gộp) cần US-24, chưa được xếp kế hoạch. Tiêu chí đó được hoãn, không phải không đạt.</t>
  </si>
  <si>
    <t>S2-T36</t>
  </si>
  <si>
    <t>Viết và chạy test case cho AC-US25-01 và AC-US25-03</t>
  </si>
  <si>
    <t>Biên bản kiểm thử cho US-25</t>
  </si>
  <si>
    <t>S2-T37</t>
  </si>
  <si>
    <t>Xây dựng danh sách tài khoản và form tạo tài khoản (tên đăng nhập, vai trò, mật khẩu ban đầu)</t>
  </si>
  <si>
    <t>US-01 (Sprint 1), US-05 (Sprint 1)</t>
  </si>
  <si>
    <t>Các màn hình quản lý tài khoản</t>
  </si>
  <si>
    <t>S2-T38</t>
  </si>
  <si>
    <t>Cài đặt việc tạo tài khoản, từ chối tên đăng nhập trùng và vô hiệu hóa thay vì xóa</t>
  </si>
  <si>
    <t>Chức năng tạo và vô hiệu hóa chạy được</t>
  </si>
  <si>
    <t>S2-T39</t>
  </si>
  <si>
    <t>Cài đặt thao tác của quản trị viên đặt mật khẩu mới cho người dùng quên mật khẩu</t>
  </si>
  <si>
    <t>Chức năng đặt lại mật khẩu chạy được</t>
  </si>
  <si>
    <t>S2-T40</t>
  </si>
  <si>
    <t>Viết và chạy test case cho AC-US41-01..04</t>
  </si>
  <si>
    <t>S2-T38, S2-T39</t>
  </si>
  <si>
    <t>Biên bản kiểm thử cho US-41</t>
  </si>
  <si>
    <t>S2-T41</t>
  </si>
  <si>
    <t>Chạy kiểm tra từ đầu đến cuối trên bộ dữ liệu trình diễn: tạo khoản thu, tạo khoản phải thu, ghi nhận thanh toán một phần rồi thanh toán đủ, hủy một thanh toán và in biên lai; ghi lại lỗi</t>
  </si>
  <si>
    <t>S2-T13, S2-T24, S2-T32, S2-T35</t>
  </si>
  <si>
    <t>S2-T42</t>
  </si>
  <si>
    <t>Sửa các lỗi tìm thấy trong lần kiểm tra từ đầu đến cuối của Sprint 2 và trong các buổi rà soát task</t>
  </si>
  <si>
    <t>Xuyên suốt. Các lỗi lớn hơn quay về Product Backlog.</t>
  </si>
  <si>
    <t>S2-T43</t>
  </si>
  <si>
    <t>US-16, US-17, US-19, US-20</t>
  </si>
  <si>
    <t>PO nghiệm thu US-16, US-17, US-19 và US-20 theo Acceptance Criteria của từng story</t>
  </si>
  <si>
    <t>S2-T04, S2-T08, S2-T14, S2-T16</t>
  </si>
  <si>
    <t>S2-T44</t>
  </si>
  <si>
    <t>US-22, US-23, US-21</t>
  </si>
  <si>
    <t>PO nghiệm thu US-21, US-22 và US-23 theo Acceptance Criteria của từng story</t>
  </si>
  <si>
    <t>S2-T22, S2-T25, S2-T28</t>
  </si>
  <si>
    <t>S2-T45</t>
  </si>
  <si>
    <t>US-26, US-25, US-41</t>
  </si>
  <si>
    <t>PO nghiệm thu US-25, US-26 và US-41 theo Acceptance Criteria của từng story</t>
  </si>
  <si>
    <t>S2-T33, S2-T36, S2-T40</t>
  </si>
  <si>
    <t>S2-T46</t>
  </si>
  <si>
    <t>Chuẩn bị buổi demo cho Sprint 2 Review và cập nhật bảng công việc với những gì đã đạt Done</t>
  </si>
  <si>
    <t>S2-T43, S2-T44, S2-T45</t>
  </si>
  <si>
    <t>Sprint 3 — Tìm kiếm, thống kê và ổn định hóa</t>
  </si>
  <si>
    <t>Để Ban quản trị tìm nhanh bất kỳ hộ hoặc nhân khẩu nào, xem một hộ còn nợ bao nhiêu, liệt kê hộ chưa đóng và xem thống kê thu phí và đóng góp, giữ dữ liệu cá nhân và tài chính được bảo vệ và khôi phục được, và đưa v1.0 đến trạng thái đã kiểm thử, có tài liệu và trình diễn được.</t>
  </si>
  <si>
    <t>Tìm kiếm hộ và nhân khẩu, màn hình tổng quan khoản thu theo từng hộ kèm lịch sử thanh toán, danh sách hộ chưa đóng, thống kê thu phí và thống kê các đợt đóng góp tự nguyện. Số giấy tờ được che với các vai trò không có quyền, và quản trị viên sao lưu và khôi phục được toàn bộ dữ liệu. Các mục tiêu về thời gian phản hồi và tính dễ dùng được kiểm tra trên bộ dữ liệu trình diễn. Toàn bộ ứng dụng được kiểm thử hồi quy theo Acceptance Criteria, các lỗi đã biết được sửa hoặc liệt kê, và hướng dẫn sử dụng, hướng dẫn cài đặt và ghi chú phát hành được hoàn thiện.</t>
  </si>
  <si>
    <t>10 story, 49 task</t>
  </si>
  <si>
    <t>Cần hộ gia đình và khoản phải thu để hiển thị số tiền còn nợ.</t>
  </si>
  <si>
    <t>Cần thanh toán, thanh toán một phần và các thanh toán đã hủy từ Sprint 2.</t>
  </si>
  <si>
    <t>Cần trạng thái thanh toán từ Sprint 2.</t>
  </si>
  <si>
    <t>Cần các thanh toán đã ghi nhận và đã hủy từ Sprint 2.</t>
  </si>
  <si>
    <t>Cần các thanh toán tự nguyện từ Sprint 2.</t>
  </si>
  <si>
    <t>Cần nhân khẩu từ Sprint 1; ít công sức.</t>
  </si>
  <si>
    <t>Chỉ đo được sau khi các chức năng tìm kiếm đã có.</t>
  </si>
  <si>
    <t>Rà soát mọi màn hình nên phải làm sau khi chúng đã có.</t>
  </si>
  <si>
    <t>Các stakeholder coi sao lưu là bắt buộc (WISH-07) và RAW-026 có gợi ý Must; story cần vai trò từ Sprint 1. Đặt ở Sprint 3 để bài kiểm thử khôi phục bao phủ toàn bộ mô hình dữ liệu.</t>
  </si>
  <si>
    <t>RAW-024 có gợi ý Must và cư dân lo ngại bị lộ thông tin (WISH-23). Story cần dữ liệu nhân khẩu của Sprint 1 và các màn hình tìm kiếm của Sprint 3, để việc che bao phủ mọi danh sách.</t>
  </si>
  <si>
    <t>S3-T01</t>
  </si>
  <si>
    <t>Xây dựng ô tìm kiếm hộ gia đình và danh sách kết quả, gồm cả chế độ xem tất cả hộ theo thứ tự số căn hộ</t>
  </si>
  <si>
    <t>Màn hình tìm kiếm hộ gia đình</t>
  </si>
  <si>
    <t>S3-T02</t>
  </si>
  <si>
    <t>Cài đặt tìm theo số căn hộ và theo tên chủ hộ, kèm thông báo khi không có kết quả</t>
  </si>
  <si>
    <t>Chức năng tìm kiếm hộ gia đình chạy được</t>
  </si>
  <si>
    <t>S3-T03</t>
  </si>
  <si>
    <t>Hiển thị tổng số tiền còn nợ của hộ trong từng kết quả tìm kiếm</t>
  </si>
  <si>
    <t>S3-T02, US-19 (Sprint 2)</t>
  </si>
  <si>
    <t>Số tiền còn nợ trong kết quả</t>
  </si>
  <si>
    <t>S3-T04</t>
  </si>
  <si>
    <t>Viết và chạy test case cho AC-US27-01..04</t>
  </si>
  <si>
    <t>Biên bản kiểm thử cho US-27</t>
  </si>
  <si>
    <t>S3-T05</t>
  </si>
  <si>
    <t>Cài đặt các truy vấn trạng thái của từng khoản thu (đã đóng, đóng một phần, chưa đóng) và lịch sử thanh toán của một hộ</t>
  </si>
  <si>
    <t>US-22 (Sprint 2), US-23 (Sprint 2)</t>
  </si>
  <si>
    <t>Các truy vấn chạy được</t>
  </si>
  <si>
    <t>S3-T06</t>
  </si>
  <si>
    <t>Xây dựng màn hình tổng quan khoản thu của hộ (khoản thu, số tiền phải đóng, đã đóng, còn lại, trạng thái)</t>
  </si>
  <si>
    <t>Màn hình tổng quan khoản thu của hộ</t>
  </si>
  <si>
    <t>S3-T07</t>
  </si>
  <si>
    <t>Xây dựng danh sách lịch sử thanh toán, đánh dấu các thanh toán đã hủy</t>
  </si>
  <si>
    <t>S3-T05, US-26 (Sprint 2)</t>
  </si>
  <si>
    <t>Danh sách lịch sử thanh toán</t>
  </si>
  <si>
    <t>S3-T08</t>
  </si>
  <si>
    <t>Viết và chạy test case cho AC-US29-01..03</t>
  </si>
  <si>
    <t>S3-T06, S3-T07</t>
  </si>
  <si>
    <t>Biên bản kiểm thử cho US-29</t>
  </si>
  <si>
    <t>S3-T09</t>
  </si>
  <si>
    <t>Cài đặt truy vấn các hộ còn số tiền lớn hơn 0 cho một khoản thu và kỳ được chọn, chỉ tính khoản thu bắt buộc</t>
  </si>
  <si>
    <t>US-22 (Sprint 2), US-21 (Sprint 2)</t>
  </si>
  <si>
    <t>Truy vấn hộ chưa đóng chạy được</t>
  </si>
  <si>
    <t>S3-T10</t>
  </si>
  <si>
    <t>Xây dựng danh sách hộ chưa đóng với bộ lọc theo khoản thu và kỳ</t>
  </si>
  <si>
    <t>Màn hình danh sách hộ chưa đóng</t>
  </si>
  <si>
    <t>S3-T11</t>
  </si>
  <si>
    <t>Viết và chạy test case cho AC-US31-01..03</t>
  </si>
  <si>
    <t>Biên bản kiểm thử cho US-31</t>
  </si>
  <si>
    <t>S3-T12</t>
  </si>
  <si>
    <t>Cài đặt việc tính tổng số tiền đã thu và còn lại theo khoản thu và theo tháng, không tính các thanh toán đã hủy</t>
  </si>
  <si>
    <t>US-22 (Sprint 2), US-26 (Sprint 2)</t>
  </si>
  <si>
    <t>Các truy vấn thống kê chạy được</t>
  </si>
  <si>
    <t>S3-T13</t>
  </si>
  <si>
    <t>Xây dựng màn hình thống kê thu phí (dạng bảng, không có biểu đồ)</t>
  </si>
  <si>
    <t>Màn hình thống kê thu phí</t>
  </si>
  <si>
    <t>S3-T14</t>
  </si>
  <si>
    <t>Đối chiếu tổng thống kê với danh sách thanh toán trên bộ dữ liệu trình diễn và ghi lại kết quả</t>
  </si>
  <si>
    <t>Biên bản đối chiếu</t>
  </si>
  <si>
    <t>S3-T15</t>
  </si>
  <si>
    <t>Viết và chạy test case cho AC-US32-01..03</t>
  </si>
  <si>
    <t>Biên bản kiểm thử cho US-32</t>
  </si>
  <si>
    <t>S3-T16</t>
  </si>
  <si>
    <t>Cài đặt việc tính tổng số tiền và danh sách người đóng góp cho từng đợt tự nguyện</t>
  </si>
  <si>
    <t>US-21 (Sprint 2)</t>
  </si>
  <si>
    <t>Các truy vấn thống kê đợt đóng góp chạy được</t>
  </si>
  <si>
    <t>S3-T17</t>
  </si>
  <si>
    <t>Xây dựng màn hình thống kê đợt đóng góp</t>
  </si>
  <si>
    <t>Màn hình thống kê đợt đóng góp</t>
  </si>
  <si>
    <t>S3-T18</t>
  </si>
  <si>
    <t>Viết và chạy test case cho AC-US33-01..02</t>
  </si>
  <si>
    <t>Biên bản kiểm thử cho US-33</t>
  </si>
  <si>
    <t>S3-T19</t>
  </si>
  <si>
    <t>Cài đặt tìm nhân khẩu theo họ tên và thông tin cơ bản, trả về hộ gia đình của từng kết quả</t>
  </si>
  <si>
    <t>US-10 (Sprint 1)</t>
  </si>
  <si>
    <t>Chức năng tìm kiếm nhân khẩu chạy được</t>
  </si>
  <si>
    <t>S3-T20</t>
  </si>
  <si>
    <t>Xây dựng màn hình tìm kiếm nhân khẩu</t>
  </si>
  <si>
    <t>Màn hình tìm kiếm nhân khẩu</t>
  </si>
  <si>
    <t>S3-T21</t>
  </si>
  <si>
    <t>Viết và chạy test case cho AC-US28-01..02</t>
  </si>
  <si>
    <t>Biên bản kiểm thử cho US-28</t>
  </si>
  <si>
    <t>S3-T22</t>
  </si>
  <si>
    <t>Cài đặt việc sao lưu toàn bộ dữ liệu hệ thống bằng một thao tác vào một file có dấu thời gian</t>
  </si>
  <si>
    <t>US-05 (Sprint 1)</t>
  </si>
  <si>
    <t>Chức năng sao lưu chạy được</t>
  </si>
  <si>
    <t>Technical Story (NFR-005).</t>
  </si>
  <si>
    <t>S3-T23</t>
  </si>
  <si>
    <t>Cài đặt việc khôi phục từ file sao lưu, có bước xác nhận rõ ràng và cảnh báo rằng dữ liệu hiện tại sẽ bị thay thế</t>
  </si>
  <si>
    <t>Chức năng khôi phục chạy được</t>
  </si>
  <si>
    <t>S3-T24</t>
  </si>
  <si>
    <t>Thêm tùy chọn sao lưu theo lịch (hằng ngày là mặc định đề xuất, chưa chốt) và giới hạn sao lưu, khôi phục cho quản trị viên</t>
  </si>
  <si>
    <t>Thiết lập lịch và việc kiểm tra vai trò</t>
  </si>
  <si>
    <t>S3-T25</t>
  </si>
  <si>
    <t>Viết và chạy test case cho AC-US38-01..04, gồm cả việc khôi phục vào một cơ sở dữ liệu trống và so sánh số bản ghi và tổng số tiền đã thu</t>
  </si>
  <si>
    <t>S3-T23, S3-T24</t>
  </si>
  <si>
    <t>Biên bản kiểm thử cho US-38</t>
  </si>
  <si>
    <t>S3-T26</t>
  </si>
  <si>
    <t>Cài đặt việc che số giấy tờ trong danh sách và kết quả tìm kiếm (hiển thị 4 ký tự cuối, đề xuất)</t>
  </si>
  <si>
    <t>S3-T02, S3-T19, US-10 (Sprint 1)</t>
  </si>
  <si>
    <t>Số giấy tờ đã che trong danh sách</t>
  </si>
  <si>
    <t>Việc có lưu số giấy tờ hay không vẫn còn mở (OQ-08).</t>
  </si>
  <si>
    <t>S3-T27</t>
  </si>
  <si>
    <t>Cài đặt quyền chỉ cho các vai trò được phép xem số giấy tờ đầy đủ</t>
  </si>
  <si>
    <t>S3-T26, US-05 (Sprint 1)</t>
  </si>
  <si>
    <t>Xem đầy đủ theo vai trò</t>
  </si>
  <si>
    <t>S3-T28</t>
  </si>
  <si>
    <t>Viết và chạy test case cho AC-US35-01..03</t>
  </si>
  <si>
    <t>Biên bản kiểm thử cho US-35</t>
  </si>
  <si>
    <t>Phần xuất dữ liệu của AC-US35-02 cần US-15, chưa được xếp kế hoạch; phần đó được hoãn, không phải không đạt.</t>
  </si>
  <si>
    <t>S3-T29</t>
  </si>
  <si>
    <t>Mở rộng bộ dữ liệu trình diễn giả lên khoảng 500 hộ gia đình kèm nhân khẩu và thanh toán</t>
  </si>
  <si>
    <t>Script bộ dữ liệu lớn hơn</t>
  </si>
  <si>
    <t>Mục tiêu 500 hộ và 3 giây là đề xuất (AS-13, OQ-10).</t>
  </si>
  <si>
    <t>S3-T30</t>
  </si>
  <si>
    <t>Thêm chỉ mục cơ sở dữ liệu cho các cột được tìm kiếm</t>
  </si>
  <si>
    <t>S3-T29, S3-T02, S3-T19</t>
  </si>
  <si>
    <t>Script tạo chỉ mục</t>
  </si>
  <si>
    <t>S3-T31</t>
  </si>
  <si>
    <t>Đo thời gian phản hồi của các màn hình tìm kiếm và danh sách so với mục tiêu 3 giây và ghi lại kết quả</t>
  </si>
  <si>
    <t>Biên bản đo</t>
  </si>
  <si>
    <t>S3-T32</t>
  </si>
  <si>
    <t>Rà soát mọi màn hình về chữ tiếng Việt, định dạng VND và thông báo lỗi, và liệt kê các chỗ cần sửa</t>
  </si>
  <si>
    <t>S3-T02, S3-T06, S3-T10, S3-T13</t>
  </si>
  <si>
    <t>Danh sách các chỗ cần sửa về chữ và thông báo</t>
  </si>
  <si>
    <t>S3-T33</t>
  </si>
  <si>
    <t>Áp dụng các chỗ sửa đã liệt kê về chữ, định dạng và thông báo</t>
  </si>
  <si>
    <t>Các màn hình đã sửa</t>
  </si>
  <si>
    <t>S3-T34</t>
  </si>
  <si>
    <t>Chạy thử luồng chính cùng một người đóng vai không phải lập trình viên và ghi lại kết quả</t>
  </si>
  <si>
    <t>Biên bản chạy thử</t>
  </si>
  <si>
    <t>Là role-play, không phải kiểm thử với người dùng thật.</t>
  </si>
  <si>
    <t>S3-T35</t>
  </si>
  <si>
    <t>Chạy kiểm thử hồi quy các Acceptance Criteria của Sprint 1 (tài khoản, hộ gia đình, nhân khẩu) trên cơ sở dữ liệu sạch và ghi lại lỗi</t>
  </si>
  <si>
    <t>Biên bản hồi quy và danh sách lỗi</t>
  </si>
  <si>
    <t>Ổn định hóa xuyên suốt.</t>
  </si>
  <si>
    <t>S3-T36</t>
  </si>
  <si>
    <t>Chạy kiểm thử hồi quy các Acceptance Criteria của Sprint 2 (khoản thu, thanh toán, tài khoản) trên cơ sở dữ liệu sạch và ghi lại lỗi</t>
  </si>
  <si>
    <t>S3-T37</t>
  </si>
  <si>
    <t>Chạy kiểm thử hồi quy các Acceptance Criteria của Sprint 3 (tìm kiếm, thống kê) trên cơ sở dữ liệu sạch và ghi lại lỗi</t>
  </si>
  <si>
    <t>S3-T33, S3-T31</t>
  </si>
  <si>
    <t>S3-T38</t>
  </si>
  <si>
    <t>Kiểm tra quyền của các vai trò trên mọi màn hình theo ma trận vai trò và khắc phục các chỗ thiếu</t>
  </si>
  <si>
    <t>Ma trận vai trò đã kiểm tra và các chỗ đã sửa</t>
  </si>
  <si>
    <t>Hoàn tất việc kiểm tra quyền cho các màn hình được thêm sau Sprint 1 (US-05).</t>
  </si>
  <si>
    <t>S3-T39</t>
  </si>
  <si>
    <t>Sửa các lỗi tìm thấy trong đợt hồi quy ở các module tài khoản, hộ gia đình và nhân khẩu</t>
  </si>
  <si>
    <t>S3-T40</t>
  </si>
  <si>
    <t>Sửa các lỗi tìm thấy trong đợt hồi quy ở các module khoản thu và thanh toán</t>
  </si>
  <si>
    <t>S3-T41</t>
  </si>
  <si>
    <t>Sửa các lỗi tìm thấy ở các màn hình tìm kiếm và thống kê và trong buổi chạy thử tính dễ dùng</t>
  </si>
  <si>
    <t>S3-T37, S3-T34</t>
  </si>
  <si>
    <t>S3-T42</t>
  </si>
  <si>
    <t>Viết hướng dẫn sử dụng cho luồng chính (đăng nhập, hộ gia đình, khoản thu, thanh toán, tìm kiếm, thống kê)</t>
  </si>
  <si>
    <t>Tài liệu hướng dẫn sử dụng</t>
  </si>
  <si>
    <t>Tài liệu xuyên suốt.</t>
  </si>
  <si>
    <t>S3-T43</t>
  </si>
  <si>
    <t>Viết hướng dẫn cài đặt và chạy (thiết lập cơ sở dữ liệu, tài khoản nạp sẵn, bộ dữ liệu trình diễn, sao lưu và khôi phục)</t>
  </si>
  <si>
    <t>S3-T38, S3-T23</t>
  </si>
  <si>
    <t>Hướng dẫn cài đặt</t>
  </si>
  <si>
    <t>S3-T44</t>
  </si>
  <si>
    <t>Cập nhật README và các tài liệu dự án lên trạng thái v1.0 cuối cùng và liệt kê các story chưa xếp kế hoạch như các hạn chế đã biết</t>
  </si>
  <si>
    <t>S3-T39, S3-T40, S3-T41</t>
  </si>
  <si>
    <t>README đã cập nhật và danh sách hạn chế</t>
  </si>
  <si>
    <t>S3-T45</t>
  </si>
  <si>
    <t>Ghi lại kết quả kiểm thử cuối cùng của mọi Acceptance Criteria và danh sách các lỗi còn mở</t>
  </si>
  <si>
    <t>Biên bản kết quả kiểm thử cuối cùng</t>
  </si>
  <si>
    <t>S3-T46</t>
  </si>
  <si>
    <t>US-27, US-29, US-31, US-28</t>
  </si>
  <si>
    <t>PO nghiệm thu US-27, US-28, US-29 và US-31 theo Acceptance Criteria của từng story</t>
  </si>
  <si>
    <t>S3-T04, S3-T08, S3-T11, S3-T21</t>
  </si>
  <si>
    <t>S3-T47</t>
  </si>
  <si>
    <t>US-38, US-35</t>
  </si>
  <si>
    <t>PO nghiệm thu US-35 và US-38 theo Acceptance Criteria của từng story</t>
  </si>
  <si>
    <t>S3-T25, S3-T28</t>
  </si>
  <si>
    <t>S3-T48</t>
  </si>
  <si>
    <t>US-32, US-33, US-39, US-40</t>
  </si>
  <si>
    <t>PO nghiệm thu US-32, US-33, US-39 và US-40 theo Acceptance Criteria của từng story</t>
  </si>
  <si>
    <t>S3-T15, S3-T18, S3-T31, S3-T34</t>
  </si>
  <si>
    <t>S3-T49</t>
  </si>
  <si>
    <t>Chuẩn bị kịch bản demo cuối cùng và buổi Sprint 3 Review</t>
  </si>
  <si>
    <t>S3-T46, S3-T48, S3-T47, S3-T45</t>
  </si>
  <si>
    <t>Workload Summary — số task và ước lượng (giờ) của từng thành viên</t>
  </si>
  <si>
    <t>Member</t>
  </si>
  <si>
    <t>Sprint 1 Tasks</t>
  </si>
  <si>
    <t>Sprint 1 Estimate</t>
  </si>
  <si>
    <t>Sprint 2 Tasks</t>
  </si>
  <si>
    <t>Sprint 2 Estimate</t>
  </si>
  <si>
    <t>Sprint 3 Tasks</t>
  </si>
  <si>
    <t>Sprint 3 Estimate</t>
  </si>
  <si>
    <t>Total Tasks</t>
  </si>
  <si>
    <t>Total Estimate</t>
  </si>
  <si>
    <t>Scrum Role</t>
  </si>
  <si>
    <t>Share of Total Estimate</t>
  </si>
  <si>
    <t>Tasks as Reviewer</t>
  </si>
  <si>
    <t>Scrum Master</t>
  </si>
  <si>
    <t>Product Owner</t>
  </si>
  <si>
    <t>Developer</t>
  </si>
  <si>
    <t>Total</t>
  </si>
  <si>
    <t>Cách cân bằng khối lượng</t>
  </si>
  <si>
    <t>Ước lượng tính theo giờ. Mỗi Developer đảm nhận 96-109 giờ trong ba sprint (chênh lệch 13% so với mức trung bình của Developer).</t>
  </si>
  <si>
    <t>Scrum Master và Product Owner không nhận task code (docs/02, mục 1: nhận ít task hơn). Hai vai trò này viết và chạy test case, thống nhất quy tắc với nhau, viết tài liệu và rà soát, nên tổng giờ thấp hơn là có chủ ý.</t>
  </si>
  <si>
    <t>Các task của một story được chia cho nhiều thành viên. Không ai rà soát task của chính mình. Task code do một Developer rà soát; Product Owner chỉ nghiệm thu một story sau khi người rà soát các task của nó đã duyệt (docs/02, mục 4).</t>
  </si>
  <si>
    <t>Việc phân công là đề xuất cho buổi Sprint Planning. Nhóm có thể đổi người thực hiện khi biết lịch rảnh thực tế.</t>
  </si>
  <si>
    <t>Legend — Product Backlog</t>
  </si>
  <si>
    <t>Term</t>
  </si>
  <si>
    <t>Meaning in this project</t>
  </si>
  <si>
    <t>Where used</t>
  </si>
  <si>
    <t>Terms</t>
  </si>
  <si>
    <t>Epic</t>
  </si>
  <si>
    <t>Một năng lực nghiệp vụ lớn gom các Feature và User Story (EPIC-01 đến EPIC-07).</t>
  </si>
  <si>
    <t>Product_Backlog, Traceability</t>
  </si>
  <si>
    <t>Feature</t>
  </si>
  <si>
    <t>Một phần cụ thể của Epic chứa một hoặc nhiều User Story (FEAT-xx-yy).</t>
  </si>
  <si>
    <t>Một yêu cầu nhỏ viết theo mẫu: Là một [vai trò], tôi muốn [mục tiêu], để [giá trị nghiệp vụ] (US-xx). Technical Story là story phi chức năng. Mọi story đều được suy ra từ đề bài và kịch bản stakeholder.</t>
  </si>
  <si>
    <t>Product_Backlog</t>
  </si>
  <si>
    <t>Các điều kiện kiểm thử được viết dạng Given / When / Then (AC-USnn-mm) phải đúng thì story mới được nghiệm thu.</t>
  </si>
  <si>
    <t>Traceability (toàn văn trong 05_Epic_UserStory.xlsx)</t>
  </si>
  <si>
    <t>RAW</t>
  </si>
  <si>
    <t xml:space="preserve">Raw requirement (RAW-001 đến RAW-030) từ buổi elicitation theo kịch bản. 17 RAW đã được viết lại ở mức nhu cầu của stakeholder sau khi nhóm rà soát; ID giữ nguyên, nội dung chi tiết ban đầu lưu ở cột Notes của 04_Raw_Requirements.xlsx. RAW-029 và RAW-030 là Roadmap v2.0.</t>
  </si>
  <si>
    <t>Source RAW ID, Traceability</t>
  </si>
  <si>
    <t>NFR</t>
  </si>
  <si>
    <t>Yêu cầu phi chức năng (NFR-001 đến NFR-007, ánh xạ tới RAW-022 đến RAW-028). Được hiện thực hóa bằng các Technical Story và các acceptance criteria gắn thẻ [NFR-xxx.n].</t>
  </si>
  <si>
    <t>Notes, 05_Epic_UserStory.xlsx</t>
  </si>
  <si>
    <t>Danh sách có thứ tự của mọi User Story v1.0. Thứ tự 1 là quan trọng nhất. Không chứa hạng mục v2.0 nào.</t>
  </si>
  <si>
    <t>Các story nhóm cam kết cho một sprint trong Sprint Planning. Trong workbook này Sprint 1, 2 và 3 có từ 10 đến 11 story mỗi sprint, và mỗi story được chia thành các task có người thực hiện, người rà soát và ước lượng ở các sheet Sprint_1, Sprint_2 và Sprint_3.</t>
  </si>
  <si>
    <t>Sprint_1 to Sprint_3</t>
  </si>
  <si>
    <t>Story cần được hoàn thành (hoặc ít nhất đã bắt đầu) trước khi story này hoàn thành hoặc kiểm thử được. US-01 là điều kiện tiên quyết chung và chỉ được liệt kê ở những story làm việc trực tiếp với tài khoản đang đăng nhập.</t>
  </si>
  <si>
    <t>Cần để v1.0 chạy được đúng mục đích chính: đăng nhập, quản lý hộ gia đình và nhân khẩu, định nghĩa khoản thu, ghi nhận thanh toán, tìm hộ gia đình và hiển thị thống kê cơ bản.</t>
  </si>
  <si>
    <t>Quan trọng, nhưng sản phẩm vẫn demo được nếu giao muộn hơn. Sắp xếp theo giá trị nghiệp vụ, rồi đến phụ thuộc.</t>
  </si>
  <si>
    <t>Tiện ích hoặc cải tiến; không thuộc luồng chính.</t>
  </si>
  <si>
    <t>Không làm trong phiên bản hiện tại. Dùng cho Roadmap v2.0 (phí gửi xe, điện, nước, internet). Các hạng mục này không có User Story và chỉ xuất hiện ở Traceability.</t>
  </si>
  <si>
    <t>Traceability</t>
  </si>
  <si>
    <t>Cao / Trung bình / Thấp suy ra từ MoSCoW: Must = Cao, Should = Trung bình, Could = Thấp.</t>
  </si>
  <si>
    <t>Quy tắc sắp xếp</t>
  </si>
  <si>
    <t>1) Các story Must theo luồng chính (tài khoản, hộ gia đình, nhân khẩu, khoản thu, thu phí, tìm kiếm, thống kê); 2) một story luôn đứng sau các story mà nó phụ thuộc; 3) Should theo giá trị nghiệp vụ; 4) Could; 5) Won't hoặc Roadmap xếp cuối (backlog này không có).</t>
  </si>
  <si>
    <t>Thang điểm</t>
  </si>
  <si>
    <t>1, 2, 3, 5, 8 (Fibonacci đơn giản). Điểm thể hiện công sức tương đối và mức bất định, không phải giờ.</t>
  </si>
  <si>
    <t>Story tham chiếu</t>
  </si>
  <si>
    <t>US-03 Đổi mật khẩu của chính mình = 2 điểm. Các story khác được so sánh với story này.</t>
  </si>
  <si>
    <t>Trạng thái của ước lượng</t>
  </si>
  <si>
    <t>Ước lượng ban đầu của người phân tích. Nhóm chưa tổ chức Planning Poker. Nhóm ước lượng lại trong Sprint Planning. Không story nào lớn hơn 5 điểm nên không cần tách story.</t>
  </si>
  <si>
    <t>Giá trị Status</t>
  </si>
  <si>
    <t>Story nằm trong backlog có thứ tự và chưa cam kết vào sprint nào. Sau khi lập Sprint Plan, giá trị này chỉ áp dụng cho các story chưa xếp kế hoạch.</t>
  </si>
  <si>
    <t>Story được chọn vào Sprint 1, 2 hoặc 3 trong Sprint Planning. Mọi task của story được liệt kê ở sheet Sprint tương ứng.</t>
  </si>
  <si>
    <t>Trạng thái của story đã lên kế hoạch</t>
  </si>
  <si>
    <t>Task được chia nhỏ (khoảng một đến hai ngày làm việc hoặc ít hơn), có người thực hiện và người rà soát, và sẵn sàng bắt đầu. Mọi task bắt đầu ở Todo; kế hoạch không đánh dấu task nào là Done.</t>
  </si>
  <si>
    <t>Task Status</t>
  </si>
  <si>
    <t>In Progress</t>
  </si>
  <si>
    <t>Người thực hiện đã bắt đầu task. Đây là cột OPTIONAL / TEAM DECISION: bảng công việc theo giảng viên (docs/02) chỉ có 5 cột Product Backlog, Sprint Backlog, Todo, Review, Done, nên việc đang làm được coi là nằm trong Todo. Nhóm quyết định có thêm cột này vào bảng hay không (câu hỏi mở).</t>
  </si>
  <si>
    <t>Task Status (nhãn tùy chọn)</t>
  </si>
  <si>
    <t>Review</t>
  </si>
  <si>
    <t>Người thực hiện đã hoàn thành và chờ người rà soát được chỉ định. Chưa được duyệt: quay lại Todo (hoặc In Progress) kèm nhận xét.</t>
  </si>
  <si>
    <t>Done</t>
  </si>
  <si>
    <t>Người rà soát đã duyệt và Definition of Done đã đạt. Product Owner đóng story sau khi kiểm tra Acceptance Criteria của story.</t>
  </si>
  <si>
    <t>Ghi chú khác</t>
  </si>
  <si>
    <t>Sprint 1, Sprint 2 hoặc Sprint 3 cho các story đã cam kết; Unplanned cho các story ở lại Product Backlog; Roadmap cho v2.0 (RAW-029, RAW-030, không có story).</t>
  </si>
  <si>
    <t>Nguồn dữ liệu</t>
  </si>
  <si>
    <t>Phát biểu của stakeholder, wish, RAW và User Story được xây dựng theo kịch bản role-play dựa trên đề bài. Không có phỏng vấn, khảo sát hay quan sát thật nào được thực hiện.</t>
  </si>
  <si>
    <t>Tất cả sheet</t>
  </si>
  <si>
    <t>Các sheet Sprint</t>
  </si>
  <si>
    <t>Task</t>
  </si>
  <si>
    <t>Một phần việc tối đa một đến hai ngày làm việc, có kết quả rõ ràng (Deliverable), một người thực hiện và một người rà soát. Task ID có dạng S&lt;sprint&gt;-T&lt;số&gt;. Task không có US ID là task xuyên suốt (thiết lập, kiểm tra tích hợp, hồi quy, tài liệu).</t>
  </si>
  <si>
    <t>Số giờ làm việc là số nguyên (2, 3, 4, 6 hoặc 8). Một đơn vị cho toàn workbook. Đây là ước lượng lập kế hoạch, không phải số đo.</t>
  </si>
  <si>
    <t>Estimate (h), Workload_Summary</t>
  </si>
  <si>
    <t>Một thành viên khác người thực hiện, kiểm tra kết quả. Task code do một Developer rà soát.</t>
  </si>
  <si>
    <t>Task Dependency</t>
  </si>
  <si>
    <t>Các task phải hoàn thành trước (Task ID trong cùng sprint) hoặc các story của sprint trước (US-xx (Sprint n)).</t>
  </si>
  <si>
    <t>Một story v1.0 hợp lệ chưa được cam kết trong Sprint 1 đến 3. Story giữ nguyên MoSCoW và ở lại Product Backlog với Status Product Backlog. Lý do nằm ở cột Notes của story.</t>
  </si>
  <si>
    <t>Các yêu cầu v2.0 (phí gửi xe, điện, nước, internet). Không có story và không được lên kế hoạch trong sprint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</si>
</sst>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h&quot;"/>
  </numFmts>
  <fonts count="13" x14ac:knownFonts="1">
    <font>
      <color theme="1"/>
      <family val="2"/>
      <scheme val="minor"/>
      <sz val="11"/>
      <name val="Calibri"/>
    </font>
    <font>
      <b/>
      <color rgb="FF595959"/>
      <sz val="22"/>
      <name val="Arial"/>
    </font>
    <font>
      <i/>
      <color rgb="FF595959"/>
      <sz val="9"/>
      <name val="Arial"/>
    </font>
    <font>
      <color rgb="FF000000"/>
      <sz val="11"/>
      <name val="Arial"/>
    </font>
    <font>
      <b/>
      <color rgb="FF404040"/>
      <sz val="9"/>
      <name val="Arial"/>
    </font>
    <font>
      <color rgb="FF404040"/>
      <sz val="9"/>
      <name val="Arial"/>
    </font>
    <font>
      <b/>
      <color rgb="FFC55A11"/>
      <sz val="9"/>
      <name val="Arial"/>
    </font>
    <font>
      <b/>
      <color rgb="FFBF9000"/>
      <sz val="9"/>
      <name val="Arial"/>
    </font>
    <font>
      <b/>
      <color rgb="FF548235"/>
      <sz val="9"/>
      <name val="Arial"/>
    </font>
    <font>
      <b/>
      <color rgb="FF7F7F7F"/>
      <sz val="9"/>
      <name val="Arial"/>
    </font>
    <font>
      <b/>
      <color rgb="FF595959"/>
      <sz val="18"/>
      <name val="Arial"/>
    </font>
    <font>
      <b/>
      <color rgb="FF595959"/>
      <sz val="11"/>
      <name val="Arial"/>
    </font>
    <font>
      <b/>
      <color rgb="FF404040"/>
      <sz val="10"/>
      <name val="Arial"/>
    </font>
  </fonts>
  <fills count="10">
    <fill>
      <patternFill patternType="none"/>
    </fill>
    <fill>
      <patternFill patternType="gray125"/>
    </fill>
    <fill>
      <patternFill patternType="solid">
        <fgColor rgb="FFDEEBF7"/>
      </patternFill>
    </fill>
    <fill>
      <patternFill patternType="solid">
        <fgColor rgb="FFF8CBAD"/>
      </patternFill>
    </fill>
    <fill>
      <patternFill patternType="solid">
        <fgColor rgb="FFDDEBF7"/>
      </patternFill>
    </fill>
    <fill>
      <patternFill patternType="solid">
        <fgColor rgb="FFE4DFEC"/>
      </patternFill>
    </fill>
    <fill>
      <patternFill patternType="solid">
        <fgColor rgb="FFD9EFEA"/>
      </patternFill>
    </fill>
    <fill>
      <patternFill patternType="solid">
        <fgColor rgb="FFFFE699"/>
      </patternFill>
    </fill>
    <fill>
      <patternFill patternType="solid">
        <fgColor rgb="FFEDEDED"/>
      </patternFill>
    </fill>
    <fill>
      <patternFill patternType="solid">
        <fgColor rgb="FFE2F0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1" xfId="0" applyFont="1" applyFill="1" applyBorder="1" applyAlignment="1">
      <alignment horizont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4" fillId="2" borderId="1" xfId="0" applyFont="1" applyFill="1" applyBorder="1"/>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wrapText="1"/>
    </xf>
    <xf numFmtId="0" fontId="2" fillId="0" borderId="0" xfId="0" applyFont="1" applyAlignment="1">
      <alignment vertical="top" wrapText="1"/>
    </xf>
    <xf numFmtId="0" fontId="9" fillId="8" borderId="1" xfId="0" applyFont="1" applyFill="1" applyBorder="1" applyAlignment="1">
      <alignment horizontal="center" vertical="top" wrapText="1"/>
    </xf>
    <xf numFmtId="0" fontId="4" fillId="2" borderId="1" xfId="0" applyFont="1" applyFill="1" applyBorder="1" applyAlignment="1">
      <alignment vertical="top" wrapText="1"/>
    </xf>
    <xf numFmtId="0" fontId="4" fillId="2" borderId="1" xfId="0" applyFont="1" applyFill="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top" wrapText="1"/>
    </xf>
    <xf numFmtId="0" fontId="10" fillId="0" borderId="0" xfId="0" applyFont="1" applyAlignment="1">
      <alignment vertical="center"/>
    </xf>
    <xf numFmtId="0" fontId="0" fillId="0" borderId="1" xfId="0" applyBorder="1"/>
    <xf numFmtId="0" fontId="11" fillId="0" borderId="0" xfId="0" applyFont="1"/>
    <xf numFmtId="164" fontId="5" fillId="0" borderId="1" xfId="0" applyNumberFormat="1" applyFont="1" applyBorder="1" applyAlignment="1">
      <alignment horizontal="center" vertical="top"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9" fontId="5" fillId="0" borderId="1" xfId="0" applyNumberFormat="1" applyFont="1" applyBorder="1" applyAlignment="1">
      <alignment horizontal="center" vertical="center" wrapText="1"/>
    </xf>
    <xf numFmtId="164" fontId="4" fillId="2" borderId="1" xfId="0" applyNumberFormat="1" applyFont="1" applyFill="1" applyBorder="1" applyAlignment="1">
      <alignment horizontal="center"/>
    </xf>
    <xf numFmtId="0" fontId="0" fillId="2" borderId="1" xfId="0" applyFill="1" applyBorder="1"/>
    <xf numFmtId="9" fontId="4" fillId="2" borderId="1" xfId="0" applyNumberFormat="1" applyFont="1" applyFill="1" applyBorder="1" applyAlignment="1">
      <alignment horizontal="center"/>
    </xf>
    <xf numFmtId="0" fontId="12" fillId="0" borderId="0" xfId="0" applyFont="1" applyAlignment="1">
      <alignment vertical="top" wrapText="1"/>
    </xf>
    <xf numFmtId="0" fontId="5" fillId="0" borderId="0" xfId="0" applyFont="1" applyAlignment="1">
      <alignment vertical="top" wrapText="1"/>
    </xf>
    <xf numFmtId="0" fontId="12" fillId="2" borderId="1" xfId="0" applyFont="1" applyFill="1" applyBorder="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54"/>
  <sheetViews>
    <sheetView workbookViewId="0" showGridLines="0" zoomScale="85" zoomScaleNormal="100">
      <pane xSplit="3" ySplit="2" topLeftCell="D3" activePane="bottomRight" state="frozen"/>
      <selection pane="bottomRight"/>
    </sheetView>
  </sheetViews>
  <sheetFormatPr defaultRowHeight="15" outlineLevelRow="0" outlineLevelCol="0" x14ac:dyDescent="55"/>
  <cols>
    <col min="1" max="1" width="3.43" customWidth="1"/>
    <col min="2" max="2" width="7" customWidth="1"/>
    <col min="3" max="3" width="8" customWidth="1"/>
    <col min="4" max="4" width="52" customWidth="1"/>
    <col min="6" max="6" width="26" customWidth="1"/>
    <col min="7" max="7" width="11" customWidth="1"/>
    <col min="8" max="8" width="24" customWidth="1"/>
    <col min="9" max="9" width="38" customWidth="1"/>
    <col min="10" max="11" width="10" customWidth="1"/>
    <col min="13" max="13" width="14" customWidth="1"/>
    <col min="14" max="14" width="12" customWidth="1"/>
    <col min="15" max="15" width="16" customWidth="1"/>
    <col min="16" max="16" width="14" customWidth="1"/>
    <col min="17" max="17" width="62" customWidth="1"/>
  </cols>
  <sheetData>
    <row r="1" ht="50.1" customHeight="1" spans="2:17" x14ac:dyDescent="0.25">
      <c r="B1" s="1" t="s">
        <v>0</v>
      </c>
      <c r="F1" s="2" t="s">
        <v>1</v>
      </c>
      <c r="G1"/>
      <c r="H1"/>
      <c r="I1"/>
      <c r="J1"/>
      <c r="K1"/>
      <c r="L1"/>
      <c r="M1"/>
      <c r="N1"/>
      <c r="O1"/>
      <c r="P1"/>
      <c r="Q1"/>
    </row>
    <row r="2" ht="45" customHeight="1" spans="2:17" x14ac:dyDescent="0.25">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row>
    <row r="3" ht="96.2" customHeight="1" spans="2:17" x14ac:dyDescent="0.25">
      <c r="B3" s="4">
        <v>1</v>
      </c>
      <c r="C3" s="4" t="s">
        <v>18</v>
      </c>
      <c r="D3" s="5" t="s">
        <v>19</v>
      </c>
      <c r="E3" s="6" t="s">
        <v>20</v>
      </c>
      <c r="F3" s="5" t="s">
        <v>21</v>
      </c>
      <c r="G3" s="6" t="s">
        <v>22</v>
      </c>
      <c r="H3" s="5" t="s">
        <v>23</v>
      </c>
      <c r="I3" s="5" t="s">
        <v>24</v>
      </c>
      <c r="J3" s="7" t="s">
        <v>25</v>
      </c>
      <c r="K3" s="7" t="s">
        <v>26</v>
      </c>
      <c r="L3" s="6">
        <v>3</v>
      </c>
      <c r="M3" s="5" t="s">
        <v>27</v>
      </c>
      <c r="N3" s="8" t="s">
        <v>28</v>
      </c>
      <c r="O3" s="6" t="s">
        <v>29</v>
      </c>
      <c r="P3" s="5" t="s">
        <v>30</v>
      </c>
      <c r="Q3" s="5" t="s">
        <v>31</v>
      </c>
    </row>
    <row r="4" ht="108.8" customHeight="1" spans="2:17" x14ac:dyDescent="0.25">
      <c r="B4" s="4">
        <v>2</v>
      </c>
      <c r="C4" s="4" t="s">
        <v>32</v>
      </c>
      <c r="D4" s="5" t="s">
        <v>33</v>
      </c>
      <c r="E4" s="6" t="s">
        <v>20</v>
      </c>
      <c r="F4" s="5" t="s">
        <v>21</v>
      </c>
      <c r="G4" s="6" t="s">
        <v>22</v>
      </c>
      <c r="H4" s="5" t="s">
        <v>23</v>
      </c>
      <c r="I4" s="5" t="s">
        <v>34</v>
      </c>
      <c r="J4" s="7" t="s">
        <v>25</v>
      </c>
      <c r="K4" s="7" t="s">
        <v>26</v>
      </c>
      <c r="L4" s="6">
        <v>3</v>
      </c>
      <c r="M4" s="5" t="s">
        <v>18</v>
      </c>
      <c r="N4" s="8" t="s">
        <v>28</v>
      </c>
      <c r="O4" s="6" t="s">
        <v>29</v>
      </c>
      <c r="P4" s="5" t="s">
        <v>35</v>
      </c>
      <c r="Q4" s="5" t="s">
        <v>36</v>
      </c>
    </row>
    <row r="5" ht="96.2" customHeight="1" spans="2:17" x14ac:dyDescent="0.25">
      <c r="B5" s="4">
        <v>3</v>
      </c>
      <c r="C5" s="4" t="s">
        <v>37</v>
      </c>
      <c r="D5" s="5" t="s">
        <v>38</v>
      </c>
      <c r="E5" s="6" t="s">
        <v>20</v>
      </c>
      <c r="F5" s="5" t="s">
        <v>21</v>
      </c>
      <c r="G5" s="6" t="s">
        <v>39</v>
      </c>
      <c r="H5" s="5" t="s">
        <v>40</v>
      </c>
      <c r="I5" s="5" t="s">
        <v>41</v>
      </c>
      <c r="J5" s="7" t="s">
        <v>25</v>
      </c>
      <c r="K5" s="7" t="s">
        <v>26</v>
      </c>
      <c r="L5" s="6">
        <v>2</v>
      </c>
      <c r="M5" s="5" t="s">
        <v>18</v>
      </c>
      <c r="N5" s="8" t="s">
        <v>28</v>
      </c>
      <c r="O5" s="6" t="s">
        <v>29</v>
      </c>
      <c r="P5" s="5" t="s">
        <v>42</v>
      </c>
      <c r="Q5" s="5" t="s">
        <v>43</v>
      </c>
    </row>
    <row r="6" ht="108.8" customHeight="1" spans="2:17" x14ac:dyDescent="0.25">
      <c r="B6" s="4">
        <v>4</v>
      </c>
      <c r="C6" s="4" t="s">
        <v>44</v>
      </c>
      <c r="D6" s="5" t="s">
        <v>45</v>
      </c>
      <c r="E6" s="6" t="s">
        <v>46</v>
      </c>
      <c r="F6" s="5" t="s">
        <v>47</v>
      </c>
      <c r="G6" s="6" t="s">
        <v>48</v>
      </c>
      <c r="H6" s="5" t="s">
        <v>49</v>
      </c>
      <c r="I6" s="5" t="s">
        <v>50</v>
      </c>
      <c r="J6" s="7" t="s">
        <v>25</v>
      </c>
      <c r="K6" s="7" t="s">
        <v>26</v>
      </c>
      <c r="L6" s="6">
        <v>3</v>
      </c>
      <c r="M6" s="5" t="s">
        <v>27</v>
      </c>
      <c r="N6" s="8" t="s">
        <v>28</v>
      </c>
      <c r="O6" s="6" t="s">
        <v>29</v>
      </c>
      <c r="P6" s="5" t="s">
        <v>51</v>
      </c>
      <c r="Q6" s="5" t="s">
        <v>52</v>
      </c>
    </row>
    <row r="7" ht="96.2" customHeight="1" spans="2:17" x14ac:dyDescent="0.25">
      <c r="B7" s="4">
        <v>5</v>
      </c>
      <c r="C7" s="4" t="s">
        <v>53</v>
      </c>
      <c r="D7" s="5" t="s">
        <v>54</v>
      </c>
      <c r="E7" s="6" t="s">
        <v>46</v>
      </c>
      <c r="F7" s="5" t="s">
        <v>47</v>
      </c>
      <c r="G7" s="6" t="s">
        <v>55</v>
      </c>
      <c r="H7" s="5" t="s">
        <v>56</v>
      </c>
      <c r="I7" s="5" t="s">
        <v>57</v>
      </c>
      <c r="J7" s="7" t="s">
        <v>25</v>
      </c>
      <c r="K7" s="7" t="s">
        <v>26</v>
      </c>
      <c r="L7" s="6">
        <v>3</v>
      </c>
      <c r="M7" s="5" t="s">
        <v>44</v>
      </c>
      <c r="N7" s="8" t="s">
        <v>28</v>
      </c>
      <c r="O7" s="6" t="s">
        <v>29</v>
      </c>
      <c r="P7" s="5" t="s">
        <v>58</v>
      </c>
      <c r="Q7" s="5" t="s">
        <v>59</v>
      </c>
    </row>
    <row r="8" ht="108.8" customHeight="1" spans="2:17" x14ac:dyDescent="0.25">
      <c r="B8" s="4">
        <v>6</v>
      </c>
      <c r="C8" s="4" t="s">
        <v>60</v>
      </c>
      <c r="D8" s="5" t="s">
        <v>61</v>
      </c>
      <c r="E8" s="6" t="s">
        <v>46</v>
      </c>
      <c r="F8" s="5" t="s">
        <v>47</v>
      </c>
      <c r="G8" s="6" t="s">
        <v>55</v>
      </c>
      <c r="H8" s="5" t="s">
        <v>56</v>
      </c>
      <c r="I8" s="5" t="s">
        <v>62</v>
      </c>
      <c r="J8" s="7" t="s">
        <v>25</v>
      </c>
      <c r="K8" s="7" t="s">
        <v>26</v>
      </c>
      <c r="L8" s="6">
        <v>2</v>
      </c>
      <c r="M8" s="5" t="s">
        <v>44</v>
      </c>
      <c r="N8" s="8" t="s">
        <v>28</v>
      </c>
      <c r="O8" s="6" t="s">
        <v>29</v>
      </c>
      <c r="P8" s="5" t="s">
        <v>58</v>
      </c>
      <c r="Q8" s="5" t="s">
        <v>63</v>
      </c>
    </row>
    <row r="9" ht="96.2" customHeight="1" spans="2:17" x14ac:dyDescent="0.25">
      <c r="B9" s="4">
        <v>7</v>
      </c>
      <c r="C9" s="4" t="s">
        <v>64</v>
      </c>
      <c r="D9" s="5" t="s">
        <v>65</v>
      </c>
      <c r="E9" s="6" t="s">
        <v>66</v>
      </c>
      <c r="F9" s="5" t="s">
        <v>67</v>
      </c>
      <c r="G9" s="6" t="s">
        <v>68</v>
      </c>
      <c r="H9" s="5" t="s">
        <v>69</v>
      </c>
      <c r="I9" s="5" t="s">
        <v>70</v>
      </c>
      <c r="J9" s="7" t="s">
        <v>25</v>
      </c>
      <c r="K9" s="7" t="s">
        <v>26</v>
      </c>
      <c r="L9" s="6">
        <v>3</v>
      </c>
      <c r="M9" s="5" t="s">
        <v>44</v>
      </c>
      <c r="N9" s="8" t="s">
        <v>28</v>
      </c>
      <c r="O9" s="6" t="s">
        <v>29</v>
      </c>
      <c r="P9" s="5" t="s">
        <v>71</v>
      </c>
      <c r="Q9" s="5" t="s">
        <v>72</v>
      </c>
    </row>
    <row r="10" ht="96.2" customHeight="1" spans="2:17" x14ac:dyDescent="0.25">
      <c r="B10" s="4">
        <v>8</v>
      </c>
      <c r="C10" s="4" t="s">
        <v>73</v>
      </c>
      <c r="D10" s="5" t="s">
        <v>74</v>
      </c>
      <c r="E10" s="6" t="s">
        <v>66</v>
      </c>
      <c r="F10" s="5" t="s">
        <v>67</v>
      </c>
      <c r="G10" s="6" t="s">
        <v>68</v>
      </c>
      <c r="H10" s="5" t="s">
        <v>69</v>
      </c>
      <c r="I10" s="5" t="s">
        <v>75</v>
      </c>
      <c r="J10" s="7" t="s">
        <v>25</v>
      </c>
      <c r="K10" s="7" t="s">
        <v>26</v>
      </c>
      <c r="L10" s="6">
        <v>2</v>
      </c>
      <c r="M10" s="5" t="s">
        <v>64</v>
      </c>
      <c r="N10" s="8" t="s">
        <v>28</v>
      </c>
      <c r="O10" s="6" t="s">
        <v>29</v>
      </c>
      <c r="P10" s="5" t="s">
        <v>71</v>
      </c>
      <c r="Q10" s="5" t="s">
        <v>76</v>
      </c>
    </row>
    <row r="11" ht="108.8" customHeight="1" spans="2:17" x14ac:dyDescent="0.25">
      <c r="B11" s="4">
        <v>9</v>
      </c>
      <c r="C11" s="4" t="s">
        <v>77</v>
      </c>
      <c r="D11" s="5" t="s">
        <v>78</v>
      </c>
      <c r="E11" s="6" t="s">
        <v>66</v>
      </c>
      <c r="F11" s="5" t="s">
        <v>67</v>
      </c>
      <c r="G11" s="6" t="s">
        <v>79</v>
      </c>
      <c r="H11" s="5" t="s">
        <v>80</v>
      </c>
      <c r="I11" s="5" t="s">
        <v>81</v>
      </c>
      <c r="J11" s="7" t="s">
        <v>25</v>
      </c>
      <c r="K11" s="7" t="s">
        <v>26</v>
      </c>
      <c r="L11" s="6">
        <v>5</v>
      </c>
      <c r="M11" s="5" t="s">
        <v>64</v>
      </c>
      <c r="N11" s="8" t="s">
        <v>28</v>
      </c>
      <c r="O11" s="6" t="s">
        <v>29</v>
      </c>
      <c r="P11" s="5" t="s">
        <v>82</v>
      </c>
      <c r="Q11" s="5" t="s">
        <v>83</v>
      </c>
    </row>
    <row r="12" ht="96.2" customHeight="1" spans="2:17" x14ac:dyDescent="0.25">
      <c r="B12" s="4">
        <v>10</v>
      </c>
      <c r="C12" s="4" t="s">
        <v>84</v>
      </c>
      <c r="D12" s="5" t="s">
        <v>85</v>
      </c>
      <c r="E12" s="6" t="s">
        <v>66</v>
      </c>
      <c r="F12" s="5" t="s">
        <v>67</v>
      </c>
      <c r="G12" s="6" t="s">
        <v>86</v>
      </c>
      <c r="H12" s="5" t="s">
        <v>87</v>
      </c>
      <c r="I12" s="5" t="s">
        <v>88</v>
      </c>
      <c r="J12" s="7" t="s">
        <v>25</v>
      </c>
      <c r="K12" s="7" t="s">
        <v>26</v>
      </c>
      <c r="L12" s="6">
        <v>3</v>
      </c>
      <c r="M12" s="5" t="s">
        <v>64</v>
      </c>
      <c r="N12" s="8" t="s">
        <v>28</v>
      </c>
      <c r="O12" s="6" t="s">
        <v>29</v>
      </c>
      <c r="P12" s="5" t="s">
        <v>89</v>
      </c>
      <c r="Q12" s="5" t="s">
        <v>90</v>
      </c>
    </row>
    <row r="13" ht="108.8" customHeight="1" spans="2:17" x14ac:dyDescent="0.25">
      <c r="B13" s="4">
        <v>11</v>
      </c>
      <c r="C13" s="4" t="s">
        <v>91</v>
      </c>
      <c r="D13" s="5" t="s">
        <v>92</v>
      </c>
      <c r="E13" s="6" t="s">
        <v>93</v>
      </c>
      <c r="F13" s="5" t="s">
        <v>94</v>
      </c>
      <c r="G13" s="6" t="s">
        <v>95</v>
      </c>
      <c r="H13" s="5" t="s">
        <v>96</v>
      </c>
      <c r="I13" s="5" t="s">
        <v>97</v>
      </c>
      <c r="J13" s="7" t="s">
        <v>25</v>
      </c>
      <c r="K13" s="7" t="s">
        <v>26</v>
      </c>
      <c r="L13" s="6">
        <v>3</v>
      </c>
      <c r="M13" s="5" t="s">
        <v>27</v>
      </c>
      <c r="N13" s="9" t="s">
        <v>98</v>
      </c>
      <c r="O13" s="6" t="s">
        <v>29</v>
      </c>
      <c r="P13" s="5" t="s">
        <v>99</v>
      </c>
      <c r="Q13" s="5" t="s">
        <v>100</v>
      </c>
    </row>
    <row r="14" ht="96.2" customHeight="1" spans="2:17" x14ac:dyDescent="0.25">
      <c r="B14" s="4">
        <v>12</v>
      </c>
      <c r="C14" s="4" t="s">
        <v>101</v>
      </c>
      <c r="D14" s="5" t="s">
        <v>102</v>
      </c>
      <c r="E14" s="6" t="s">
        <v>93</v>
      </c>
      <c r="F14" s="5" t="s">
        <v>94</v>
      </c>
      <c r="G14" s="6" t="s">
        <v>95</v>
      </c>
      <c r="H14" s="5" t="s">
        <v>96</v>
      </c>
      <c r="I14" s="5" t="s">
        <v>103</v>
      </c>
      <c r="J14" s="7" t="s">
        <v>25</v>
      </c>
      <c r="K14" s="7" t="s">
        <v>26</v>
      </c>
      <c r="L14" s="6">
        <v>3</v>
      </c>
      <c r="M14" s="5" t="s">
        <v>91</v>
      </c>
      <c r="N14" s="9" t="s">
        <v>98</v>
      </c>
      <c r="O14" s="6" t="s">
        <v>29</v>
      </c>
      <c r="P14" s="5" t="s">
        <v>99</v>
      </c>
      <c r="Q14" s="5" t="s">
        <v>104</v>
      </c>
    </row>
    <row r="15" ht="108.8" customHeight="1" spans="2:17" x14ac:dyDescent="0.25">
      <c r="B15" s="4">
        <v>13</v>
      </c>
      <c r="C15" s="4" t="s">
        <v>105</v>
      </c>
      <c r="D15" s="5" t="s">
        <v>106</v>
      </c>
      <c r="E15" s="6" t="s">
        <v>93</v>
      </c>
      <c r="F15" s="5" t="s">
        <v>94</v>
      </c>
      <c r="G15" s="6" t="s">
        <v>107</v>
      </c>
      <c r="H15" s="5" t="s">
        <v>108</v>
      </c>
      <c r="I15" s="5" t="s">
        <v>109</v>
      </c>
      <c r="J15" s="7" t="s">
        <v>25</v>
      </c>
      <c r="K15" s="7" t="s">
        <v>26</v>
      </c>
      <c r="L15" s="6">
        <v>5</v>
      </c>
      <c r="M15" s="5" t="s">
        <v>110</v>
      </c>
      <c r="N15" s="9" t="s">
        <v>98</v>
      </c>
      <c r="O15" s="6" t="s">
        <v>29</v>
      </c>
      <c r="P15" s="5" t="s">
        <v>111</v>
      </c>
      <c r="Q15" s="5" t="s">
        <v>112</v>
      </c>
    </row>
    <row r="16" ht="96.2" customHeight="1" spans="2:17" x14ac:dyDescent="0.25">
      <c r="B16" s="4">
        <v>14</v>
      </c>
      <c r="C16" s="4" t="s">
        <v>113</v>
      </c>
      <c r="D16" s="5" t="s">
        <v>114</v>
      </c>
      <c r="E16" s="6" t="s">
        <v>115</v>
      </c>
      <c r="F16" s="5" t="s">
        <v>116</v>
      </c>
      <c r="G16" s="6" t="s">
        <v>117</v>
      </c>
      <c r="H16" s="5" t="s">
        <v>118</v>
      </c>
      <c r="I16" s="5" t="s">
        <v>119</v>
      </c>
      <c r="J16" s="7" t="s">
        <v>25</v>
      </c>
      <c r="K16" s="7" t="s">
        <v>26</v>
      </c>
      <c r="L16" s="6">
        <v>5</v>
      </c>
      <c r="M16" s="5" t="s">
        <v>105</v>
      </c>
      <c r="N16" s="9" t="s">
        <v>98</v>
      </c>
      <c r="O16" s="6" t="s">
        <v>29</v>
      </c>
      <c r="P16" s="5" t="s">
        <v>120</v>
      </c>
      <c r="Q16" s="5" t="s">
        <v>121</v>
      </c>
    </row>
    <row r="17" ht="96.2" customHeight="1" spans="2:17" x14ac:dyDescent="0.25">
      <c r="B17" s="4">
        <v>15</v>
      </c>
      <c r="C17" s="4" t="s">
        <v>122</v>
      </c>
      <c r="D17" s="5" t="s">
        <v>123</v>
      </c>
      <c r="E17" s="6" t="s">
        <v>115</v>
      </c>
      <c r="F17" s="5" t="s">
        <v>116</v>
      </c>
      <c r="G17" s="6" t="s">
        <v>117</v>
      </c>
      <c r="H17" s="5" t="s">
        <v>118</v>
      </c>
      <c r="I17" s="5" t="s">
        <v>124</v>
      </c>
      <c r="J17" s="7" t="s">
        <v>25</v>
      </c>
      <c r="K17" s="7" t="s">
        <v>26</v>
      </c>
      <c r="L17" s="6">
        <v>3</v>
      </c>
      <c r="M17" s="5" t="s">
        <v>113</v>
      </c>
      <c r="N17" s="9" t="s">
        <v>98</v>
      </c>
      <c r="O17" s="6" t="s">
        <v>29</v>
      </c>
      <c r="P17" s="5" t="s">
        <v>120</v>
      </c>
      <c r="Q17" s="5" t="s">
        <v>125</v>
      </c>
    </row>
    <row r="18" ht="108.8" customHeight="1" spans="2:17" x14ac:dyDescent="0.25">
      <c r="B18" s="4">
        <v>16</v>
      </c>
      <c r="C18" s="4" t="s">
        <v>126</v>
      </c>
      <c r="D18" s="5" t="s">
        <v>127</v>
      </c>
      <c r="E18" s="6" t="s">
        <v>93</v>
      </c>
      <c r="F18" s="5" t="s">
        <v>94</v>
      </c>
      <c r="G18" s="6" t="s">
        <v>128</v>
      </c>
      <c r="H18" s="5" t="s">
        <v>129</v>
      </c>
      <c r="I18" s="5" t="s">
        <v>130</v>
      </c>
      <c r="J18" s="7" t="s">
        <v>25</v>
      </c>
      <c r="K18" s="7" t="s">
        <v>26</v>
      </c>
      <c r="L18" s="6">
        <v>3</v>
      </c>
      <c r="M18" s="5" t="s">
        <v>131</v>
      </c>
      <c r="N18" s="9" t="s">
        <v>98</v>
      </c>
      <c r="O18" s="6" t="s">
        <v>29</v>
      </c>
      <c r="P18" s="5" t="s">
        <v>132</v>
      </c>
      <c r="Q18" s="5" t="s">
        <v>133</v>
      </c>
    </row>
    <row r="19" ht="108.8" customHeight="1" spans="2:17" x14ac:dyDescent="0.25">
      <c r="B19" s="4">
        <v>17</v>
      </c>
      <c r="C19" s="4" t="s">
        <v>134</v>
      </c>
      <c r="D19" s="5" t="s">
        <v>135</v>
      </c>
      <c r="E19" s="6" t="s">
        <v>136</v>
      </c>
      <c r="F19" s="5" t="s">
        <v>137</v>
      </c>
      <c r="G19" s="6" t="s">
        <v>138</v>
      </c>
      <c r="H19" s="5" t="s">
        <v>139</v>
      </c>
      <c r="I19" s="5" t="s">
        <v>140</v>
      </c>
      <c r="J19" s="7" t="s">
        <v>25</v>
      </c>
      <c r="K19" s="7" t="s">
        <v>26</v>
      </c>
      <c r="L19" s="6">
        <v>3</v>
      </c>
      <c r="M19" s="5" t="s">
        <v>141</v>
      </c>
      <c r="N19" s="10" t="s">
        <v>142</v>
      </c>
      <c r="O19" s="6" t="s">
        <v>29</v>
      </c>
      <c r="P19" s="5" t="s">
        <v>143</v>
      </c>
      <c r="Q19" s="5" t="s">
        <v>144</v>
      </c>
    </row>
    <row r="20" ht="108.8" customHeight="1" spans="2:17" x14ac:dyDescent="0.25">
      <c r="B20" s="4">
        <v>18</v>
      </c>
      <c r="C20" s="4" t="s">
        <v>145</v>
      </c>
      <c r="D20" s="5" t="s">
        <v>146</v>
      </c>
      <c r="E20" s="6" t="s">
        <v>136</v>
      </c>
      <c r="F20" s="5" t="s">
        <v>137</v>
      </c>
      <c r="G20" s="6" t="s">
        <v>147</v>
      </c>
      <c r="H20" s="5" t="s">
        <v>148</v>
      </c>
      <c r="I20" s="5" t="s">
        <v>149</v>
      </c>
      <c r="J20" s="7" t="s">
        <v>25</v>
      </c>
      <c r="K20" s="7" t="s">
        <v>26</v>
      </c>
      <c r="L20" s="6">
        <v>5</v>
      </c>
      <c r="M20" s="5" t="s">
        <v>113</v>
      </c>
      <c r="N20" s="10" t="s">
        <v>142</v>
      </c>
      <c r="O20" s="6" t="s">
        <v>29</v>
      </c>
      <c r="P20" s="5" t="s">
        <v>150</v>
      </c>
      <c r="Q20" s="5" t="s">
        <v>151</v>
      </c>
    </row>
    <row r="21" ht="83.6" customHeight="1" spans="2:17" x14ac:dyDescent="0.25">
      <c r="B21" s="4">
        <v>19</v>
      </c>
      <c r="C21" s="4" t="s">
        <v>152</v>
      </c>
      <c r="D21" s="5" t="s">
        <v>153</v>
      </c>
      <c r="E21" s="6" t="s">
        <v>136</v>
      </c>
      <c r="F21" s="5" t="s">
        <v>137</v>
      </c>
      <c r="G21" s="6" t="s">
        <v>154</v>
      </c>
      <c r="H21" s="5" t="s">
        <v>155</v>
      </c>
      <c r="I21" s="5" t="s">
        <v>156</v>
      </c>
      <c r="J21" s="7" t="s">
        <v>25</v>
      </c>
      <c r="K21" s="7" t="s">
        <v>26</v>
      </c>
      <c r="L21" s="6">
        <v>3</v>
      </c>
      <c r="M21" s="5" t="s">
        <v>113</v>
      </c>
      <c r="N21" s="10" t="s">
        <v>142</v>
      </c>
      <c r="O21" s="6" t="s">
        <v>29</v>
      </c>
      <c r="P21" s="5" t="s">
        <v>157</v>
      </c>
      <c r="Q21" s="5" t="s">
        <v>158</v>
      </c>
    </row>
    <row r="22" ht="108.8" customHeight="1" spans="2:17" x14ac:dyDescent="0.25">
      <c r="B22" s="4">
        <v>20</v>
      </c>
      <c r="C22" s="4" t="s">
        <v>159</v>
      </c>
      <c r="D22" s="5" t="s">
        <v>160</v>
      </c>
      <c r="E22" s="6" t="s">
        <v>136</v>
      </c>
      <c r="F22" s="5" t="s">
        <v>137</v>
      </c>
      <c r="G22" s="6" t="s">
        <v>154</v>
      </c>
      <c r="H22" s="5" t="s">
        <v>155</v>
      </c>
      <c r="I22" s="5" t="s">
        <v>161</v>
      </c>
      <c r="J22" s="7" t="s">
        <v>25</v>
      </c>
      <c r="K22" s="7" t="s">
        <v>26</v>
      </c>
      <c r="L22" s="6">
        <v>5</v>
      </c>
      <c r="M22" s="5" t="s">
        <v>113</v>
      </c>
      <c r="N22" s="10" t="s">
        <v>142</v>
      </c>
      <c r="O22" s="6" t="s">
        <v>29</v>
      </c>
      <c r="P22" s="5" t="s">
        <v>162</v>
      </c>
      <c r="Q22" s="5" t="s">
        <v>163</v>
      </c>
    </row>
    <row r="23" ht="96.2" customHeight="1" spans="2:17" x14ac:dyDescent="0.25">
      <c r="B23" s="4">
        <v>21</v>
      </c>
      <c r="C23" s="4" t="s">
        <v>164</v>
      </c>
      <c r="D23" s="5" t="s">
        <v>165</v>
      </c>
      <c r="E23" s="6" t="s">
        <v>136</v>
      </c>
      <c r="F23" s="5" t="s">
        <v>137</v>
      </c>
      <c r="G23" s="6" t="s">
        <v>154</v>
      </c>
      <c r="H23" s="5" t="s">
        <v>155</v>
      </c>
      <c r="I23" s="5" t="s">
        <v>166</v>
      </c>
      <c r="J23" s="7" t="s">
        <v>25</v>
      </c>
      <c r="K23" s="7" t="s">
        <v>26</v>
      </c>
      <c r="L23" s="6">
        <v>3</v>
      </c>
      <c r="M23" s="5" t="s">
        <v>126</v>
      </c>
      <c r="N23" s="10" t="s">
        <v>142</v>
      </c>
      <c r="O23" s="6" t="s">
        <v>29</v>
      </c>
      <c r="P23" s="5" t="s">
        <v>162</v>
      </c>
      <c r="Q23" s="5" t="s">
        <v>167</v>
      </c>
    </row>
    <row r="24" ht="146.6" customHeight="1" spans="2:17" x14ac:dyDescent="0.25">
      <c r="B24" s="4">
        <v>22</v>
      </c>
      <c r="C24" s="4" t="s">
        <v>168</v>
      </c>
      <c r="D24" s="5" t="s">
        <v>169</v>
      </c>
      <c r="E24" s="6" t="s">
        <v>20</v>
      </c>
      <c r="F24" s="5" t="s">
        <v>21</v>
      </c>
      <c r="G24" s="6" t="s">
        <v>170</v>
      </c>
      <c r="H24" s="5" t="s">
        <v>171</v>
      </c>
      <c r="I24" s="5" t="s">
        <v>172</v>
      </c>
      <c r="J24" s="11" t="s">
        <v>173</v>
      </c>
      <c r="K24" s="11" t="s">
        <v>174</v>
      </c>
      <c r="L24" s="6">
        <v>5</v>
      </c>
      <c r="M24" s="5" t="s">
        <v>18</v>
      </c>
      <c r="N24" s="8" t="s">
        <v>28</v>
      </c>
      <c r="O24" s="6" t="s">
        <v>29</v>
      </c>
      <c r="P24" s="5" t="s">
        <v>175</v>
      </c>
      <c r="Q24" s="5" t="s">
        <v>176</v>
      </c>
    </row>
    <row r="25" ht="146.6" customHeight="1" spans="2:17" x14ac:dyDescent="0.25">
      <c r="B25" s="4">
        <v>23</v>
      </c>
      <c r="C25" s="4" t="s">
        <v>177</v>
      </c>
      <c r="D25" s="5" t="s">
        <v>178</v>
      </c>
      <c r="E25" s="6" t="s">
        <v>20</v>
      </c>
      <c r="F25" s="5" t="s">
        <v>21</v>
      </c>
      <c r="G25" s="6" t="s">
        <v>179</v>
      </c>
      <c r="H25" s="5" t="s">
        <v>180</v>
      </c>
      <c r="I25" s="5" t="s">
        <v>181</v>
      </c>
      <c r="J25" s="11" t="s">
        <v>173</v>
      </c>
      <c r="K25" s="11" t="s">
        <v>174</v>
      </c>
      <c r="L25" s="6">
        <v>5</v>
      </c>
      <c r="M25" s="5" t="s">
        <v>182</v>
      </c>
      <c r="N25" s="9" t="s">
        <v>98</v>
      </c>
      <c r="O25" s="6" t="s">
        <v>29</v>
      </c>
      <c r="P25" s="5" t="s">
        <v>183</v>
      </c>
      <c r="Q25" s="5" t="s">
        <v>184</v>
      </c>
    </row>
    <row r="26" ht="108.8" customHeight="1" spans="2:17" x14ac:dyDescent="0.25">
      <c r="B26" s="4">
        <v>24</v>
      </c>
      <c r="C26" s="4" t="s">
        <v>185</v>
      </c>
      <c r="D26" s="5" t="s">
        <v>186</v>
      </c>
      <c r="E26" s="6" t="s">
        <v>115</v>
      </c>
      <c r="F26" s="5" t="s">
        <v>116</v>
      </c>
      <c r="G26" s="6" t="s">
        <v>187</v>
      </c>
      <c r="H26" s="5" t="s">
        <v>188</v>
      </c>
      <c r="I26" s="5" t="s">
        <v>189</v>
      </c>
      <c r="J26" s="11" t="s">
        <v>173</v>
      </c>
      <c r="K26" s="11" t="s">
        <v>174</v>
      </c>
      <c r="L26" s="6">
        <v>3</v>
      </c>
      <c r="M26" s="5" t="s">
        <v>113</v>
      </c>
      <c r="N26" s="9" t="s">
        <v>98</v>
      </c>
      <c r="O26" s="6" t="s">
        <v>29</v>
      </c>
      <c r="P26" s="5" t="s">
        <v>190</v>
      </c>
      <c r="Q26" s="5" t="s">
        <v>191</v>
      </c>
    </row>
    <row r="27" ht="108.8" customHeight="1" spans="2:17" x14ac:dyDescent="0.25">
      <c r="B27" s="4">
        <v>25</v>
      </c>
      <c r="C27" s="4" t="s">
        <v>192</v>
      </c>
      <c r="D27" s="5" t="s">
        <v>193</v>
      </c>
      <c r="E27" s="6" t="s">
        <v>115</v>
      </c>
      <c r="F27" s="5" t="s">
        <v>116</v>
      </c>
      <c r="G27" s="6" t="s">
        <v>194</v>
      </c>
      <c r="H27" s="5" t="s">
        <v>195</v>
      </c>
      <c r="I27" s="5" t="s">
        <v>196</v>
      </c>
      <c r="J27" s="11" t="s">
        <v>173</v>
      </c>
      <c r="K27" s="11" t="s">
        <v>174</v>
      </c>
      <c r="L27" s="6">
        <v>5</v>
      </c>
      <c r="M27" s="5" t="s">
        <v>113</v>
      </c>
      <c r="N27" s="9" t="s">
        <v>98</v>
      </c>
      <c r="O27" s="6" t="s">
        <v>29</v>
      </c>
      <c r="P27" s="5" t="s">
        <v>197</v>
      </c>
      <c r="Q27" s="5" t="s">
        <v>198</v>
      </c>
    </row>
    <row r="28" ht="146.6" customHeight="1" spans="2:17" x14ac:dyDescent="0.25">
      <c r="B28" s="4">
        <v>26</v>
      </c>
      <c r="C28" s="4" t="s">
        <v>199</v>
      </c>
      <c r="D28" s="5" t="s">
        <v>200</v>
      </c>
      <c r="E28" s="6" t="s">
        <v>201</v>
      </c>
      <c r="F28" s="5" t="s">
        <v>202</v>
      </c>
      <c r="G28" s="6" t="s">
        <v>203</v>
      </c>
      <c r="H28" s="5" t="s">
        <v>204</v>
      </c>
      <c r="I28" s="5" t="s">
        <v>205</v>
      </c>
      <c r="J28" s="11" t="s">
        <v>173</v>
      </c>
      <c r="K28" s="11" t="s">
        <v>174</v>
      </c>
      <c r="L28" s="6">
        <v>5</v>
      </c>
      <c r="M28" s="5" t="s">
        <v>168</v>
      </c>
      <c r="N28" s="10" t="s">
        <v>142</v>
      </c>
      <c r="O28" s="6" t="s">
        <v>29</v>
      </c>
      <c r="P28" s="5" t="s">
        <v>206</v>
      </c>
      <c r="Q28" s="5" t="s">
        <v>207</v>
      </c>
    </row>
    <row r="29" ht="96.2" customHeight="1" spans="2:17" x14ac:dyDescent="0.25">
      <c r="B29" s="4">
        <v>27</v>
      </c>
      <c r="C29" s="4" t="s">
        <v>208</v>
      </c>
      <c r="D29" s="5" t="s">
        <v>209</v>
      </c>
      <c r="E29" s="6" t="s">
        <v>93</v>
      </c>
      <c r="F29" s="5" t="s">
        <v>94</v>
      </c>
      <c r="G29" s="6" t="s">
        <v>107</v>
      </c>
      <c r="H29" s="5" t="s">
        <v>108</v>
      </c>
      <c r="I29" s="5" t="s">
        <v>210</v>
      </c>
      <c r="J29" s="11" t="s">
        <v>173</v>
      </c>
      <c r="K29" s="11" t="s">
        <v>174</v>
      </c>
      <c r="L29" s="6">
        <v>2</v>
      </c>
      <c r="M29" s="5" t="s">
        <v>105</v>
      </c>
      <c r="N29" s="9" t="s">
        <v>98</v>
      </c>
      <c r="O29" s="6" t="s">
        <v>29</v>
      </c>
      <c r="P29" s="5" t="s">
        <v>111</v>
      </c>
      <c r="Q29" s="5" t="s">
        <v>211</v>
      </c>
    </row>
    <row r="30" ht="96.2" customHeight="1" spans="2:17" x14ac:dyDescent="0.25">
      <c r="B30" s="4">
        <v>28</v>
      </c>
      <c r="C30" s="4" t="s">
        <v>212</v>
      </c>
      <c r="D30" s="5" t="s">
        <v>213</v>
      </c>
      <c r="E30" s="6" t="s">
        <v>136</v>
      </c>
      <c r="F30" s="5" t="s">
        <v>137</v>
      </c>
      <c r="G30" s="6" t="s">
        <v>138</v>
      </c>
      <c r="H30" s="5" t="s">
        <v>139</v>
      </c>
      <c r="I30" s="5" t="s">
        <v>214</v>
      </c>
      <c r="J30" s="11" t="s">
        <v>173</v>
      </c>
      <c r="K30" s="11" t="s">
        <v>174</v>
      </c>
      <c r="L30" s="6">
        <v>2</v>
      </c>
      <c r="M30" s="5" t="s">
        <v>64</v>
      </c>
      <c r="N30" s="10" t="s">
        <v>142</v>
      </c>
      <c r="O30" s="6" t="s">
        <v>29</v>
      </c>
      <c r="P30" s="5" t="s">
        <v>215</v>
      </c>
      <c r="Q30" s="5" t="s">
        <v>216</v>
      </c>
    </row>
    <row r="31" ht="121.39999999999999" customHeight="1" spans="2:17" x14ac:dyDescent="0.25">
      <c r="B31" s="4">
        <v>29</v>
      </c>
      <c r="C31" s="4" t="s">
        <v>217</v>
      </c>
      <c r="D31" s="5" t="s">
        <v>218</v>
      </c>
      <c r="E31" s="6" t="s">
        <v>136</v>
      </c>
      <c r="F31" s="5" t="s">
        <v>137</v>
      </c>
      <c r="G31" s="6" t="s">
        <v>147</v>
      </c>
      <c r="H31" s="5" t="s">
        <v>148</v>
      </c>
      <c r="I31" s="5" t="s">
        <v>219</v>
      </c>
      <c r="J31" s="11" t="s">
        <v>173</v>
      </c>
      <c r="K31" s="11" t="s">
        <v>174</v>
      </c>
      <c r="L31" s="6">
        <v>3</v>
      </c>
      <c r="M31" s="5" t="s">
        <v>113</v>
      </c>
      <c r="N31" s="12" t="s">
        <v>220</v>
      </c>
      <c r="O31" s="6" t="s">
        <v>221</v>
      </c>
      <c r="P31" s="5" t="s">
        <v>150</v>
      </c>
      <c r="Q31" s="5" t="s">
        <v>222</v>
      </c>
    </row>
    <row r="32" ht="121.39999999999999" customHeight="1" spans="2:17" x14ac:dyDescent="0.25">
      <c r="B32" s="4">
        <v>30</v>
      </c>
      <c r="C32" s="4" t="s">
        <v>223</v>
      </c>
      <c r="D32" s="5" t="s">
        <v>224</v>
      </c>
      <c r="E32" s="6" t="s">
        <v>201</v>
      </c>
      <c r="F32" s="5" t="s">
        <v>202</v>
      </c>
      <c r="G32" s="6" t="s">
        <v>225</v>
      </c>
      <c r="H32" s="5" t="s">
        <v>226</v>
      </c>
      <c r="I32" s="5" t="s">
        <v>227</v>
      </c>
      <c r="J32" s="11" t="s">
        <v>173</v>
      </c>
      <c r="K32" s="11" t="s">
        <v>174</v>
      </c>
      <c r="L32" s="6">
        <v>5</v>
      </c>
      <c r="M32" s="5" t="s">
        <v>228</v>
      </c>
      <c r="N32" s="12" t="s">
        <v>220</v>
      </c>
      <c r="O32" s="6" t="s">
        <v>221</v>
      </c>
      <c r="P32" s="5" t="s">
        <v>229</v>
      </c>
      <c r="Q32" s="5" t="s">
        <v>230</v>
      </c>
    </row>
    <row r="33" ht="146.6" customHeight="1" spans="2:17" x14ac:dyDescent="0.25">
      <c r="B33" s="4">
        <v>31</v>
      </c>
      <c r="C33" s="4" t="s">
        <v>231</v>
      </c>
      <c r="D33" s="5" t="s">
        <v>232</v>
      </c>
      <c r="E33" s="6" t="s">
        <v>201</v>
      </c>
      <c r="F33" s="5" t="s">
        <v>202</v>
      </c>
      <c r="G33" s="6" t="s">
        <v>233</v>
      </c>
      <c r="H33" s="5" t="s">
        <v>234</v>
      </c>
      <c r="I33" s="5" t="s">
        <v>235</v>
      </c>
      <c r="J33" s="11" t="s">
        <v>173</v>
      </c>
      <c r="K33" s="11" t="s">
        <v>174</v>
      </c>
      <c r="L33" s="6">
        <v>3</v>
      </c>
      <c r="M33" s="5" t="s">
        <v>236</v>
      </c>
      <c r="N33" s="10" t="s">
        <v>142</v>
      </c>
      <c r="O33" s="6" t="s">
        <v>29</v>
      </c>
      <c r="P33" s="5" t="s">
        <v>237</v>
      </c>
      <c r="Q33" s="5" t="s">
        <v>238</v>
      </c>
    </row>
    <row r="34" ht="96.2" customHeight="1" spans="2:17" x14ac:dyDescent="0.25">
      <c r="B34" s="4">
        <v>32</v>
      </c>
      <c r="C34" s="4" t="s">
        <v>239</v>
      </c>
      <c r="D34" s="5" t="s">
        <v>240</v>
      </c>
      <c r="E34" s="6" t="s">
        <v>136</v>
      </c>
      <c r="F34" s="5" t="s">
        <v>137</v>
      </c>
      <c r="G34" s="6" t="s">
        <v>154</v>
      </c>
      <c r="H34" s="5" t="s">
        <v>155</v>
      </c>
      <c r="I34" s="5" t="s">
        <v>241</v>
      </c>
      <c r="J34" s="11" t="s">
        <v>173</v>
      </c>
      <c r="K34" s="11" t="s">
        <v>174</v>
      </c>
      <c r="L34" s="6">
        <v>5</v>
      </c>
      <c r="M34" s="5" t="s">
        <v>242</v>
      </c>
      <c r="N34" s="12" t="s">
        <v>220</v>
      </c>
      <c r="O34" s="6" t="s">
        <v>221</v>
      </c>
      <c r="P34" s="5" t="s">
        <v>243</v>
      </c>
      <c r="Q34" s="5" t="s">
        <v>244</v>
      </c>
    </row>
    <row r="35" ht="71" customHeight="1" spans="2:17" x14ac:dyDescent="0.25">
      <c r="B35" s="4">
        <v>33</v>
      </c>
      <c r="C35" s="4" t="s">
        <v>245</v>
      </c>
      <c r="D35" s="5" t="s">
        <v>246</v>
      </c>
      <c r="E35" s="6" t="s">
        <v>66</v>
      </c>
      <c r="F35" s="5" t="s">
        <v>67</v>
      </c>
      <c r="G35" s="6" t="s">
        <v>79</v>
      </c>
      <c r="H35" s="5" t="s">
        <v>80</v>
      </c>
      <c r="I35" s="5" t="s">
        <v>247</v>
      </c>
      <c r="J35" s="11" t="s">
        <v>173</v>
      </c>
      <c r="K35" s="11" t="s">
        <v>174</v>
      </c>
      <c r="L35" s="6">
        <v>2</v>
      </c>
      <c r="M35" s="5" t="s">
        <v>77</v>
      </c>
      <c r="N35" s="12" t="s">
        <v>220</v>
      </c>
      <c r="O35" s="6" t="s">
        <v>221</v>
      </c>
      <c r="P35" s="5" t="s">
        <v>82</v>
      </c>
      <c r="Q35" s="5" t="s">
        <v>248</v>
      </c>
    </row>
    <row r="36" ht="96.2" customHeight="1" spans="2:17" x14ac:dyDescent="0.25">
      <c r="B36" s="4">
        <v>34</v>
      </c>
      <c r="C36" s="4" t="s">
        <v>249</v>
      </c>
      <c r="D36" s="5" t="s">
        <v>250</v>
      </c>
      <c r="E36" s="6" t="s">
        <v>66</v>
      </c>
      <c r="F36" s="5" t="s">
        <v>67</v>
      </c>
      <c r="G36" s="6" t="s">
        <v>251</v>
      </c>
      <c r="H36" s="5" t="s">
        <v>252</v>
      </c>
      <c r="I36" s="5" t="s">
        <v>253</v>
      </c>
      <c r="J36" s="11" t="s">
        <v>173</v>
      </c>
      <c r="K36" s="11" t="s">
        <v>174</v>
      </c>
      <c r="L36" s="6">
        <v>5</v>
      </c>
      <c r="M36" s="5" t="s">
        <v>254</v>
      </c>
      <c r="N36" s="12" t="s">
        <v>220</v>
      </c>
      <c r="O36" s="6" t="s">
        <v>221</v>
      </c>
      <c r="P36" s="5" t="s">
        <v>255</v>
      </c>
      <c r="Q36" s="5" t="s">
        <v>256</v>
      </c>
    </row>
    <row r="37" ht="108.8" customHeight="1" spans="2:17" x14ac:dyDescent="0.25">
      <c r="B37" s="4">
        <v>35</v>
      </c>
      <c r="C37" s="4" t="s">
        <v>257</v>
      </c>
      <c r="D37" s="5" t="s">
        <v>258</v>
      </c>
      <c r="E37" s="6" t="s">
        <v>46</v>
      </c>
      <c r="F37" s="5" t="s">
        <v>47</v>
      </c>
      <c r="G37" s="6" t="s">
        <v>259</v>
      </c>
      <c r="H37" s="5" t="s">
        <v>260</v>
      </c>
      <c r="I37" s="5" t="s">
        <v>261</v>
      </c>
      <c r="J37" s="11" t="s">
        <v>173</v>
      </c>
      <c r="K37" s="11" t="s">
        <v>174</v>
      </c>
      <c r="L37" s="6">
        <v>5</v>
      </c>
      <c r="M37" s="5" t="s">
        <v>44</v>
      </c>
      <c r="N37" s="12" t="s">
        <v>220</v>
      </c>
      <c r="O37" s="6" t="s">
        <v>221</v>
      </c>
      <c r="P37" s="5" t="s">
        <v>262</v>
      </c>
      <c r="Q37" s="5" t="s">
        <v>263</v>
      </c>
    </row>
    <row r="38" ht="83.6" customHeight="1" spans="2:17" x14ac:dyDescent="0.25">
      <c r="B38" s="4">
        <v>36</v>
      </c>
      <c r="C38" s="4" t="s">
        <v>264</v>
      </c>
      <c r="D38" s="5" t="s">
        <v>265</v>
      </c>
      <c r="E38" s="6" t="s">
        <v>93</v>
      </c>
      <c r="F38" s="5" t="s">
        <v>94</v>
      </c>
      <c r="G38" s="6" t="s">
        <v>95</v>
      </c>
      <c r="H38" s="5" t="s">
        <v>96</v>
      </c>
      <c r="I38" s="5" t="s">
        <v>266</v>
      </c>
      <c r="J38" s="11" t="s">
        <v>173</v>
      </c>
      <c r="K38" s="11" t="s">
        <v>174</v>
      </c>
      <c r="L38" s="6">
        <v>2</v>
      </c>
      <c r="M38" s="5" t="s">
        <v>91</v>
      </c>
      <c r="N38" s="12" t="s">
        <v>220</v>
      </c>
      <c r="O38" s="6" t="s">
        <v>221</v>
      </c>
      <c r="P38" s="5" t="s">
        <v>99</v>
      </c>
      <c r="Q38" s="5" t="s">
        <v>267</v>
      </c>
    </row>
    <row r="39" ht="108.8" customHeight="1" spans="2:17" x14ac:dyDescent="0.25">
      <c r="B39" s="4">
        <v>37</v>
      </c>
      <c r="C39" s="4" t="s">
        <v>268</v>
      </c>
      <c r="D39" s="5" t="s">
        <v>269</v>
      </c>
      <c r="E39" s="6" t="s">
        <v>201</v>
      </c>
      <c r="F39" s="5" t="s">
        <v>202</v>
      </c>
      <c r="G39" s="6" t="s">
        <v>270</v>
      </c>
      <c r="H39" s="5" t="s">
        <v>271</v>
      </c>
      <c r="I39" s="5" t="s">
        <v>272</v>
      </c>
      <c r="J39" s="11" t="s">
        <v>173</v>
      </c>
      <c r="K39" s="11" t="s">
        <v>174</v>
      </c>
      <c r="L39" s="6">
        <v>3</v>
      </c>
      <c r="M39" s="5" t="s">
        <v>273</v>
      </c>
      <c r="N39" s="10" t="s">
        <v>142</v>
      </c>
      <c r="O39" s="6" t="s">
        <v>29</v>
      </c>
      <c r="P39" s="5" t="s">
        <v>274</v>
      </c>
      <c r="Q39" s="5" t="s">
        <v>275</v>
      </c>
    </row>
    <row r="40" ht="108.8" customHeight="1" spans="2:17" x14ac:dyDescent="0.25">
      <c r="B40" s="4">
        <v>38</v>
      </c>
      <c r="C40" s="4" t="s">
        <v>276</v>
      </c>
      <c r="D40" s="5" t="s">
        <v>277</v>
      </c>
      <c r="E40" s="6" t="s">
        <v>201</v>
      </c>
      <c r="F40" s="5" t="s">
        <v>202</v>
      </c>
      <c r="G40" s="6" t="s">
        <v>270</v>
      </c>
      <c r="H40" s="5" t="s">
        <v>271</v>
      </c>
      <c r="I40" s="5" t="s">
        <v>278</v>
      </c>
      <c r="J40" s="11" t="s">
        <v>173</v>
      </c>
      <c r="K40" s="11" t="s">
        <v>174</v>
      </c>
      <c r="L40" s="6">
        <v>3</v>
      </c>
      <c r="M40" s="5" t="s">
        <v>27</v>
      </c>
      <c r="N40" s="10" t="s">
        <v>142</v>
      </c>
      <c r="O40" s="6" t="s">
        <v>29</v>
      </c>
      <c r="P40" s="5" t="s">
        <v>279</v>
      </c>
      <c r="Q40" s="5" t="s">
        <v>280</v>
      </c>
    </row>
    <row r="41" ht="83.6" customHeight="1" spans="2:17" x14ac:dyDescent="0.25">
      <c r="B41" s="4">
        <v>39</v>
      </c>
      <c r="C41" s="4" t="s">
        <v>281</v>
      </c>
      <c r="D41" s="5" t="s">
        <v>282</v>
      </c>
      <c r="E41" s="6" t="s">
        <v>20</v>
      </c>
      <c r="F41" s="5" t="s">
        <v>21</v>
      </c>
      <c r="G41" s="6" t="s">
        <v>39</v>
      </c>
      <c r="H41" s="5" t="s">
        <v>40</v>
      </c>
      <c r="I41" s="5" t="s">
        <v>283</v>
      </c>
      <c r="J41" s="11" t="s">
        <v>173</v>
      </c>
      <c r="K41" s="11" t="s">
        <v>174</v>
      </c>
      <c r="L41" s="6">
        <v>2</v>
      </c>
      <c r="M41" s="5" t="s">
        <v>18</v>
      </c>
      <c r="N41" s="12" t="s">
        <v>220</v>
      </c>
      <c r="O41" s="6" t="s">
        <v>221</v>
      </c>
      <c r="P41" s="5" t="s">
        <v>42</v>
      </c>
      <c r="Q41" s="5" t="s">
        <v>284</v>
      </c>
    </row>
    <row r="42" ht="83.6" customHeight="1" spans="2:17" x14ac:dyDescent="0.25">
      <c r="B42" s="4">
        <v>40</v>
      </c>
      <c r="C42" s="4" t="s">
        <v>285</v>
      </c>
      <c r="D42" s="5" t="s">
        <v>286</v>
      </c>
      <c r="E42" s="6" t="s">
        <v>115</v>
      </c>
      <c r="F42" s="5" t="s">
        <v>116</v>
      </c>
      <c r="G42" s="6" t="s">
        <v>117</v>
      </c>
      <c r="H42" s="5" t="s">
        <v>118</v>
      </c>
      <c r="I42" s="5" t="s">
        <v>287</v>
      </c>
      <c r="J42" s="13" t="s">
        <v>288</v>
      </c>
      <c r="K42" s="13" t="s">
        <v>289</v>
      </c>
      <c r="L42" s="6">
        <v>5</v>
      </c>
      <c r="M42" s="5" t="s">
        <v>113</v>
      </c>
      <c r="N42" s="12" t="s">
        <v>220</v>
      </c>
      <c r="O42" s="6" t="s">
        <v>221</v>
      </c>
      <c r="P42" s="5" t="s">
        <v>120</v>
      </c>
      <c r="Q42" s="5" t="s">
        <v>290</v>
      </c>
    </row>
    <row r="43" ht="83.6" customHeight="1" spans="2:17" x14ac:dyDescent="0.25">
      <c r="B43" s="4">
        <v>41</v>
      </c>
      <c r="C43" s="4" t="s">
        <v>291</v>
      </c>
      <c r="D43" s="5" t="s">
        <v>292</v>
      </c>
      <c r="E43" s="6" t="s">
        <v>201</v>
      </c>
      <c r="F43" s="5" t="s">
        <v>202</v>
      </c>
      <c r="G43" s="6" t="s">
        <v>225</v>
      </c>
      <c r="H43" s="5" t="s">
        <v>226</v>
      </c>
      <c r="I43" s="5" t="s">
        <v>293</v>
      </c>
      <c r="J43" s="13" t="s">
        <v>288</v>
      </c>
      <c r="K43" s="13" t="s">
        <v>289</v>
      </c>
      <c r="L43" s="6">
        <v>3</v>
      </c>
      <c r="M43" s="5" t="s">
        <v>294</v>
      </c>
      <c r="N43" s="12" t="s">
        <v>220</v>
      </c>
      <c r="O43" s="6" t="s">
        <v>221</v>
      </c>
      <c r="P43" s="5" t="s">
        <v>229</v>
      </c>
      <c r="Q43" s="5" t="s">
        <v>295</v>
      </c>
    </row>
    <row r="46" spans="3:8" x14ac:dyDescent="0.25">
      <c r="C46" s="14" t="s">
        <v>296</v>
      </c>
      <c r="D46" s="15"/>
      <c r="F46" s="16" t="s">
        <v>297</v>
      </c>
      <c r="G46" s="16" t="s">
        <v>298</v>
      </c>
      <c r="H46" s="16" t="s">
        <v>12</v>
      </c>
    </row>
    <row r="47" spans="3:8" x14ac:dyDescent="0.25">
      <c r="C47" s="17" t="s">
        <v>299</v>
      </c>
      <c r="D47" s="18">
        <f>COUNTA(C3:C43)</f>
        <v>41</v>
      </c>
      <c r="F47" s="19" t="s">
        <v>28</v>
      </c>
      <c r="G47" s="18">
        <f>COUNTIF($N$3:$N$43,"Sprint 1")</f>
        <v>11</v>
      </c>
      <c r="H47" s="18">
        <f>SUMIF($N$3:$N$43,"Sprint 1",$L$3:$L$43)</f>
        <v>34</v>
      </c>
    </row>
    <row r="48" spans="3:8" x14ac:dyDescent="0.25">
      <c r="C48" s="17" t="s">
        <v>25</v>
      </c>
      <c r="D48" s="18">
        <f>COUNTIF(J3:J43,"Must")</f>
        <v>21</v>
      </c>
      <c r="F48" s="19" t="s">
        <v>98</v>
      </c>
      <c r="G48" s="18">
        <f>COUNTIF($N$3:$N$43,"Sprint 2")</f>
        <v>10</v>
      </c>
      <c r="H48" s="18">
        <f>SUMIF($N$3:$N$43,"Sprint 2",$L$3:$L$43)</f>
        <v>37</v>
      </c>
    </row>
    <row r="49" spans="3:8" x14ac:dyDescent="0.25">
      <c r="C49" s="17" t="s">
        <v>173</v>
      </c>
      <c r="D49" s="18">
        <f>COUNTIF(J3:J43,"Should")</f>
        <v>18</v>
      </c>
      <c r="F49" s="19" t="s">
        <v>142</v>
      </c>
      <c r="G49" s="18">
        <f>COUNTIF($N$3:$N$43,"Sprint 3")</f>
        <v>10</v>
      </c>
      <c r="H49" s="18">
        <f>SUMIF($N$3:$N$43,"Sprint 3",$L$3:$L$43)</f>
        <v>35</v>
      </c>
    </row>
    <row r="50" spans="3:8" x14ac:dyDescent="0.25">
      <c r="C50" s="17" t="s">
        <v>288</v>
      </c>
      <c r="D50" s="18">
        <f>COUNTIF(J3:J43,"Could")</f>
        <v>2</v>
      </c>
      <c r="F50" s="19" t="s">
        <v>300</v>
      </c>
      <c r="G50" s="18">
        <f>COUNTIF($N$3:$N$43,"Unplanned")</f>
        <v>10</v>
      </c>
      <c r="H50" s="18">
        <f>SUMIF($N$3:$N$43,"Unplanned",$L$3:$L$43)</f>
        <v>37</v>
      </c>
    </row>
    <row r="51" spans="3:8" x14ac:dyDescent="0.25">
      <c r="C51" s="17" t="s">
        <v>301</v>
      </c>
      <c r="D51" s="18">
        <f>COUNTIF(J3:J43,"Won't")</f>
        <v>0</v>
      </c>
      <c r="F51" s="19" t="s">
        <v>302</v>
      </c>
      <c r="G51" s="18">
        <f>COUNTIF($N$3:$N$43,"Roadmap")</f>
        <v>0</v>
      </c>
      <c r="H51" s="18">
        <f>SUMIF($N$3:$N$43,"Roadmap",$L$3:$L$43)</f>
        <v>0</v>
      </c>
    </row>
    <row r="52" spans="3:4" x14ac:dyDescent="0.25">
      <c r="C52" s="17" t="s">
        <v>303</v>
      </c>
      <c r="D52" s="18">
        <f>SUM(L3:L43)</f>
        <v>143</v>
      </c>
    </row>
    <row r="54" ht="40" customHeight="1" spans="3:9" x14ac:dyDescent="0.25">
      <c r="C54" s="20" t="s">
        <v>304</v>
      </c>
      <c r="D54" s="20"/>
      <c r="E54" s="20"/>
      <c r="F54" s="20"/>
      <c r="G54" s="20"/>
      <c r="H54" s="20"/>
      <c r="I54" s="20"/>
    </row>
  </sheetData>
  <autoFilter ref="B2:Q43"/>
  <mergeCells count="2">
    <mergeCell ref="F1:Q1"/>
    <mergeCell ref="C54:I54"/>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7"/>
  <sheetViews>
    <sheetView workbookViewId="0" showGridLines="0" zoomScale="85" zoomScaleNormal="100">
      <pane xSplit="2" ySplit="2" topLeftCell="C3" activePane="bottomRight" state="frozen"/>
      <selection pane="bottomRight"/>
    </sheetView>
  </sheetViews>
  <sheetFormatPr defaultRowHeight="15" outlineLevelRow="0" outlineLevelCol="0" x14ac:dyDescent="55"/>
  <cols>
    <col min="1" max="1" width="3.43" customWidth="1"/>
    <col min="2" max="2" width="10" customWidth="1"/>
    <col min="3" max="3" width="46" customWidth="1"/>
    <col min="5" max="5" width="11" customWidth="1"/>
    <col min="6" max="6" width="8" customWidth="1"/>
    <col min="7" max="7" width="46" customWidth="1"/>
    <col min="8" max="8" width="70" customWidth="1"/>
    <col min="9" max="9" width="10" customWidth="1"/>
    <col min="11" max="11" width="12" customWidth="1"/>
    <col min="12" max="12" width="16" customWidth="1"/>
    <col min="13" max="13" width="50" customWidth="1"/>
  </cols>
  <sheetData>
    <row r="1" ht="50.1" customHeight="1" spans="2:13" x14ac:dyDescent="0.25">
      <c r="B1" s="1" t="s">
        <v>305</v>
      </c>
      <c r="F1" s="2" t="s">
        <v>306</v>
      </c>
      <c r="G1"/>
      <c r="H1"/>
      <c r="I1"/>
      <c r="J1"/>
      <c r="K1"/>
      <c r="L1"/>
      <c r="M1"/>
    </row>
    <row r="2" ht="45" customHeight="1" spans="2:13" x14ac:dyDescent="0.25">
      <c r="B2" s="3" t="s">
        <v>307</v>
      </c>
      <c r="C2" s="3" t="s">
        <v>308</v>
      </c>
      <c r="D2" s="3" t="s">
        <v>5</v>
      </c>
      <c r="E2" s="3" t="s">
        <v>7</v>
      </c>
      <c r="F2" s="3" t="s">
        <v>3</v>
      </c>
      <c r="G2" s="3" t="s">
        <v>4</v>
      </c>
      <c r="H2" s="3" t="s">
        <v>309</v>
      </c>
      <c r="I2" s="3" t="s">
        <v>10</v>
      </c>
      <c r="J2" s="3" t="s">
        <v>12</v>
      </c>
      <c r="K2" s="3" t="s">
        <v>14</v>
      </c>
      <c r="L2" s="3" t="s">
        <v>15</v>
      </c>
      <c r="M2" s="3" t="s">
        <v>17</v>
      </c>
    </row>
    <row r="3" ht="249.4" customHeight="1" spans="2:13" x14ac:dyDescent="0.25">
      <c r="B3" s="4" t="s">
        <v>30</v>
      </c>
      <c r="C3" s="5" t="s">
        <v>310</v>
      </c>
      <c r="D3" s="6" t="s">
        <v>20</v>
      </c>
      <c r="E3" s="6" t="s">
        <v>22</v>
      </c>
      <c r="F3" s="6" t="s">
        <v>18</v>
      </c>
      <c r="G3" s="5" t="s">
        <v>19</v>
      </c>
      <c r="H3" s="5" t="s">
        <v>311</v>
      </c>
      <c r="I3" s="7" t="s">
        <v>25</v>
      </c>
      <c r="J3" s="6">
        <v>3</v>
      </c>
      <c r="K3" s="8" t="s">
        <v>28</v>
      </c>
      <c r="L3" s="6" t="s">
        <v>29</v>
      </c>
      <c r="M3" s="5" t="s">
        <v>312</v>
      </c>
    </row>
    <row r="4" ht="325" customHeight="1" spans="2:13" x14ac:dyDescent="0.25">
      <c r="B4" s="4" t="s">
        <v>30</v>
      </c>
      <c r="C4" s="5" t="s">
        <v>310</v>
      </c>
      <c r="D4" s="6" t="s">
        <v>20</v>
      </c>
      <c r="E4" s="6" t="s">
        <v>179</v>
      </c>
      <c r="F4" s="6" t="s">
        <v>177</v>
      </c>
      <c r="G4" s="5" t="s">
        <v>178</v>
      </c>
      <c r="H4" s="5" t="s">
        <v>313</v>
      </c>
      <c r="I4" s="11" t="s">
        <v>173</v>
      </c>
      <c r="J4" s="6">
        <v>5</v>
      </c>
      <c r="K4" s="9" t="s">
        <v>98</v>
      </c>
      <c r="L4" s="6" t="s">
        <v>29</v>
      </c>
      <c r="M4" s="5" t="s">
        <v>312</v>
      </c>
    </row>
    <row r="5" ht="249.4" customHeight="1" spans="2:13" x14ac:dyDescent="0.25">
      <c r="B5" s="4" t="s">
        <v>42</v>
      </c>
      <c r="C5" s="5" t="s">
        <v>314</v>
      </c>
      <c r="D5" s="6" t="s">
        <v>20</v>
      </c>
      <c r="E5" s="6" t="s">
        <v>39</v>
      </c>
      <c r="F5" s="6" t="s">
        <v>37</v>
      </c>
      <c r="G5" s="5" t="s">
        <v>38</v>
      </c>
      <c r="H5" s="5" t="s">
        <v>315</v>
      </c>
      <c r="I5" s="7" t="s">
        <v>25</v>
      </c>
      <c r="J5" s="6">
        <v>2</v>
      </c>
      <c r="K5" s="8" t="s">
        <v>28</v>
      </c>
      <c r="L5" s="6" t="s">
        <v>29</v>
      </c>
      <c r="M5" s="5" t="s">
        <v>316</v>
      </c>
    </row>
    <row r="6" ht="199" customHeight="1" spans="2:13" x14ac:dyDescent="0.25">
      <c r="B6" s="4" t="s">
        <v>42</v>
      </c>
      <c r="C6" s="5" t="s">
        <v>314</v>
      </c>
      <c r="D6" s="6" t="s">
        <v>20</v>
      </c>
      <c r="E6" s="6" t="s">
        <v>39</v>
      </c>
      <c r="F6" s="6" t="s">
        <v>281</v>
      </c>
      <c r="G6" s="5" t="s">
        <v>282</v>
      </c>
      <c r="H6" s="5" t="s">
        <v>317</v>
      </c>
      <c r="I6" s="11" t="s">
        <v>173</v>
      </c>
      <c r="J6" s="6">
        <v>2</v>
      </c>
      <c r="K6" s="12" t="s">
        <v>220</v>
      </c>
      <c r="L6" s="6" t="s">
        <v>221</v>
      </c>
      <c r="M6" s="5" t="s">
        <v>316</v>
      </c>
    </row>
    <row r="7" ht="224.2" customHeight="1" spans="2:13" x14ac:dyDescent="0.25">
      <c r="B7" s="4" t="s">
        <v>51</v>
      </c>
      <c r="C7" s="5" t="s">
        <v>318</v>
      </c>
      <c r="D7" s="6" t="s">
        <v>46</v>
      </c>
      <c r="E7" s="6" t="s">
        <v>48</v>
      </c>
      <c r="F7" s="6" t="s">
        <v>44</v>
      </c>
      <c r="G7" s="5" t="s">
        <v>45</v>
      </c>
      <c r="H7" s="5" t="s">
        <v>319</v>
      </c>
      <c r="I7" s="7" t="s">
        <v>25</v>
      </c>
      <c r="J7" s="6">
        <v>3</v>
      </c>
      <c r="K7" s="8" t="s">
        <v>28</v>
      </c>
      <c r="L7" s="6" t="s">
        <v>29</v>
      </c>
      <c r="M7" s="5" t="s">
        <v>320</v>
      </c>
    </row>
    <row r="8" ht="136" customHeight="1" spans="2:13" x14ac:dyDescent="0.25">
      <c r="B8" s="4" t="s">
        <v>58</v>
      </c>
      <c r="C8" s="5" t="s">
        <v>321</v>
      </c>
      <c r="D8" s="6" t="s">
        <v>46</v>
      </c>
      <c r="E8" s="6" t="s">
        <v>55</v>
      </c>
      <c r="F8" s="6" t="s">
        <v>53</v>
      </c>
      <c r="G8" s="5" t="s">
        <v>54</v>
      </c>
      <c r="H8" s="5" t="s">
        <v>322</v>
      </c>
      <c r="I8" s="7" t="s">
        <v>25</v>
      </c>
      <c r="J8" s="6">
        <v>3</v>
      </c>
      <c r="K8" s="8" t="s">
        <v>28</v>
      </c>
      <c r="L8" s="6" t="s">
        <v>29</v>
      </c>
      <c r="M8" s="5" t="s">
        <v>323</v>
      </c>
    </row>
    <row r="9" ht="211.6" customHeight="1" spans="2:13" x14ac:dyDescent="0.25">
      <c r="B9" s="4" t="s">
        <v>58</v>
      </c>
      <c r="C9" s="5" t="s">
        <v>321</v>
      </c>
      <c r="D9" s="6" t="s">
        <v>46</v>
      </c>
      <c r="E9" s="6" t="s">
        <v>55</v>
      </c>
      <c r="F9" s="6" t="s">
        <v>60</v>
      </c>
      <c r="G9" s="5" t="s">
        <v>61</v>
      </c>
      <c r="H9" s="5" t="s">
        <v>324</v>
      </c>
      <c r="I9" s="7" t="s">
        <v>25</v>
      </c>
      <c r="J9" s="6">
        <v>2</v>
      </c>
      <c r="K9" s="8" t="s">
        <v>28</v>
      </c>
      <c r="L9" s="6" t="s">
        <v>29</v>
      </c>
      <c r="M9" s="5" t="s">
        <v>323</v>
      </c>
    </row>
    <row r="10" ht="236.79999999999998" customHeight="1" spans="2:13" x14ac:dyDescent="0.25">
      <c r="B10" s="4" t="s">
        <v>262</v>
      </c>
      <c r="C10" s="5" t="s">
        <v>325</v>
      </c>
      <c r="D10" s="6" t="s">
        <v>46</v>
      </c>
      <c r="E10" s="6" t="s">
        <v>259</v>
      </c>
      <c r="F10" s="6" t="s">
        <v>257</v>
      </c>
      <c r="G10" s="5" t="s">
        <v>258</v>
      </c>
      <c r="H10" s="5" t="s">
        <v>326</v>
      </c>
      <c r="I10" s="11" t="s">
        <v>173</v>
      </c>
      <c r="J10" s="6">
        <v>5</v>
      </c>
      <c r="K10" s="12" t="s">
        <v>220</v>
      </c>
      <c r="L10" s="6" t="s">
        <v>221</v>
      </c>
      <c r="M10" s="5" t="s">
        <v>327</v>
      </c>
    </row>
    <row r="11" ht="224.2" customHeight="1" spans="2:13" x14ac:dyDescent="0.25">
      <c r="B11" s="4" t="s">
        <v>71</v>
      </c>
      <c r="C11" s="5" t="s">
        <v>328</v>
      </c>
      <c r="D11" s="6" t="s">
        <v>66</v>
      </c>
      <c r="E11" s="6" t="s">
        <v>68</v>
      </c>
      <c r="F11" s="6" t="s">
        <v>64</v>
      </c>
      <c r="G11" s="5" t="s">
        <v>65</v>
      </c>
      <c r="H11" s="5" t="s">
        <v>329</v>
      </c>
      <c r="I11" s="7" t="s">
        <v>25</v>
      </c>
      <c r="J11" s="6">
        <v>3</v>
      </c>
      <c r="K11" s="8" t="s">
        <v>28</v>
      </c>
      <c r="L11" s="6" t="s">
        <v>29</v>
      </c>
      <c r="M11" s="5" t="s">
        <v>330</v>
      </c>
    </row>
    <row r="12" ht="211.6" customHeight="1" spans="2:13" x14ac:dyDescent="0.25">
      <c r="B12" s="4" t="s">
        <v>71</v>
      </c>
      <c r="C12" s="5" t="s">
        <v>328</v>
      </c>
      <c r="D12" s="6" t="s">
        <v>66</v>
      </c>
      <c r="E12" s="6" t="s">
        <v>68</v>
      </c>
      <c r="F12" s="6" t="s">
        <v>73</v>
      </c>
      <c r="G12" s="5" t="s">
        <v>74</v>
      </c>
      <c r="H12" s="5" t="s">
        <v>331</v>
      </c>
      <c r="I12" s="7" t="s">
        <v>25</v>
      </c>
      <c r="J12" s="6">
        <v>2</v>
      </c>
      <c r="K12" s="8" t="s">
        <v>28</v>
      </c>
      <c r="L12" s="6" t="s">
        <v>29</v>
      </c>
      <c r="M12" s="5" t="s">
        <v>330</v>
      </c>
    </row>
    <row r="13" ht="236.79999999999998" customHeight="1" spans="2:13" x14ac:dyDescent="0.25">
      <c r="B13" s="4" t="s">
        <v>82</v>
      </c>
      <c r="C13" s="5" t="s">
        <v>332</v>
      </c>
      <c r="D13" s="6" t="s">
        <v>66</v>
      </c>
      <c r="E13" s="6" t="s">
        <v>79</v>
      </c>
      <c r="F13" s="6" t="s">
        <v>77</v>
      </c>
      <c r="G13" s="5" t="s">
        <v>78</v>
      </c>
      <c r="H13" s="5" t="s">
        <v>333</v>
      </c>
      <c r="I13" s="7" t="s">
        <v>25</v>
      </c>
      <c r="J13" s="6">
        <v>5</v>
      </c>
      <c r="K13" s="8" t="s">
        <v>28</v>
      </c>
      <c r="L13" s="6" t="s">
        <v>29</v>
      </c>
      <c r="M13" s="5" t="s">
        <v>334</v>
      </c>
    </row>
    <row r="14" ht="186.4" customHeight="1" spans="2:13" x14ac:dyDescent="0.25">
      <c r="B14" s="4" t="s">
        <v>82</v>
      </c>
      <c r="C14" s="5" t="s">
        <v>332</v>
      </c>
      <c r="D14" s="6" t="s">
        <v>66</v>
      </c>
      <c r="E14" s="6" t="s">
        <v>79</v>
      </c>
      <c r="F14" s="6" t="s">
        <v>245</v>
      </c>
      <c r="G14" s="5" t="s">
        <v>246</v>
      </c>
      <c r="H14" s="5" t="s">
        <v>335</v>
      </c>
      <c r="I14" s="11" t="s">
        <v>173</v>
      </c>
      <c r="J14" s="6">
        <v>2</v>
      </c>
      <c r="K14" s="12" t="s">
        <v>220</v>
      </c>
      <c r="L14" s="6" t="s">
        <v>221</v>
      </c>
      <c r="M14" s="5" t="s">
        <v>334</v>
      </c>
    </row>
    <row r="15" ht="199" customHeight="1" spans="2:13" x14ac:dyDescent="0.25">
      <c r="B15" s="4" t="s">
        <v>89</v>
      </c>
      <c r="C15" s="5" t="s">
        <v>336</v>
      </c>
      <c r="D15" s="6" t="s">
        <v>66</v>
      </c>
      <c r="E15" s="6" t="s">
        <v>86</v>
      </c>
      <c r="F15" s="6" t="s">
        <v>84</v>
      </c>
      <c r="G15" s="5" t="s">
        <v>85</v>
      </c>
      <c r="H15" s="5" t="s">
        <v>337</v>
      </c>
      <c r="I15" s="7" t="s">
        <v>25</v>
      </c>
      <c r="J15" s="6">
        <v>3</v>
      </c>
      <c r="K15" s="8" t="s">
        <v>28</v>
      </c>
      <c r="L15" s="6" t="s">
        <v>29</v>
      </c>
      <c r="M15" s="5" t="s">
        <v>338</v>
      </c>
    </row>
    <row r="16" ht="211.6" customHeight="1" spans="2:13" x14ac:dyDescent="0.25">
      <c r="B16" s="4" t="s">
        <v>255</v>
      </c>
      <c r="C16" s="5" t="s">
        <v>339</v>
      </c>
      <c r="D16" s="6" t="s">
        <v>66</v>
      </c>
      <c r="E16" s="6" t="s">
        <v>251</v>
      </c>
      <c r="F16" s="6" t="s">
        <v>249</v>
      </c>
      <c r="G16" s="5" t="s">
        <v>250</v>
      </c>
      <c r="H16" s="5" t="s">
        <v>340</v>
      </c>
      <c r="I16" s="11" t="s">
        <v>173</v>
      </c>
      <c r="J16" s="6">
        <v>5</v>
      </c>
      <c r="K16" s="12" t="s">
        <v>220</v>
      </c>
      <c r="L16" s="6" t="s">
        <v>221</v>
      </c>
      <c r="M16" s="5" t="s">
        <v>341</v>
      </c>
    </row>
    <row r="17" ht="274.59999999999997" customHeight="1" spans="2:13" x14ac:dyDescent="0.25">
      <c r="B17" s="4" t="s">
        <v>99</v>
      </c>
      <c r="C17" s="5" t="s">
        <v>342</v>
      </c>
      <c r="D17" s="6" t="s">
        <v>93</v>
      </c>
      <c r="E17" s="6" t="s">
        <v>95</v>
      </c>
      <c r="F17" s="6" t="s">
        <v>91</v>
      </c>
      <c r="G17" s="5" t="s">
        <v>92</v>
      </c>
      <c r="H17" s="5" t="s">
        <v>343</v>
      </c>
      <c r="I17" s="7" t="s">
        <v>25</v>
      </c>
      <c r="J17" s="6">
        <v>3</v>
      </c>
      <c r="K17" s="9" t="s">
        <v>98</v>
      </c>
      <c r="L17" s="6" t="s">
        <v>29</v>
      </c>
      <c r="M17" s="5" t="s">
        <v>344</v>
      </c>
    </row>
    <row r="18" ht="211.6" customHeight="1" spans="2:13" x14ac:dyDescent="0.25">
      <c r="B18" s="4" t="s">
        <v>99</v>
      </c>
      <c r="C18" s="5" t="s">
        <v>342</v>
      </c>
      <c r="D18" s="6" t="s">
        <v>93</v>
      </c>
      <c r="E18" s="6" t="s">
        <v>95</v>
      </c>
      <c r="F18" s="6" t="s">
        <v>101</v>
      </c>
      <c r="G18" s="5" t="s">
        <v>102</v>
      </c>
      <c r="H18" s="5" t="s">
        <v>345</v>
      </c>
      <c r="I18" s="7" t="s">
        <v>25</v>
      </c>
      <c r="J18" s="6">
        <v>3</v>
      </c>
      <c r="K18" s="9" t="s">
        <v>98</v>
      </c>
      <c r="L18" s="6" t="s">
        <v>29</v>
      </c>
      <c r="M18" s="5" t="s">
        <v>344</v>
      </c>
    </row>
    <row r="19" ht="136" customHeight="1" spans="2:13" x14ac:dyDescent="0.25">
      <c r="B19" s="4" t="s">
        <v>99</v>
      </c>
      <c r="C19" s="5" t="s">
        <v>342</v>
      </c>
      <c r="D19" s="6" t="s">
        <v>93</v>
      </c>
      <c r="E19" s="6" t="s">
        <v>95</v>
      </c>
      <c r="F19" s="6" t="s">
        <v>264</v>
      </c>
      <c r="G19" s="5" t="s">
        <v>265</v>
      </c>
      <c r="H19" s="5" t="s">
        <v>346</v>
      </c>
      <c r="I19" s="11" t="s">
        <v>173</v>
      </c>
      <c r="J19" s="6">
        <v>2</v>
      </c>
      <c r="K19" s="12" t="s">
        <v>220</v>
      </c>
      <c r="L19" s="6" t="s">
        <v>221</v>
      </c>
      <c r="M19" s="5" t="s">
        <v>344</v>
      </c>
    </row>
    <row r="20" ht="224.2" customHeight="1" spans="2:13" x14ac:dyDescent="0.25">
      <c r="B20" s="4" t="s">
        <v>111</v>
      </c>
      <c r="C20" s="5" t="s">
        <v>347</v>
      </c>
      <c r="D20" s="6" t="s">
        <v>93</v>
      </c>
      <c r="E20" s="6" t="s">
        <v>107</v>
      </c>
      <c r="F20" s="6" t="s">
        <v>105</v>
      </c>
      <c r="G20" s="5" t="s">
        <v>106</v>
      </c>
      <c r="H20" s="5" t="s">
        <v>348</v>
      </c>
      <c r="I20" s="7" t="s">
        <v>25</v>
      </c>
      <c r="J20" s="6">
        <v>5</v>
      </c>
      <c r="K20" s="9" t="s">
        <v>98</v>
      </c>
      <c r="L20" s="6" t="s">
        <v>29</v>
      </c>
      <c r="M20" s="5" t="s">
        <v>349</v>
      </c>
    </row>
    <row r="21" ht="136" customHeight="1" spans="2:13" x14ac:dyDescent="0.25">
      <c r="B21" s="4" t="s">
        <v>111</v>
      </c>
      <c r="C21" s="5" t="s">
        <v>347</v>
      </c>
      <c r="D21" s="6" t="s">
        <v>93</v>
      </c>
      <c r="E21" s="6" t="s">
        <v>107</v>
      </c>
      <c r="F21" s="6" t="s">
        <v>208</v>
      </c>
      <c r="G21" s="5" t="s">
        <v>209</v>
      </c>
      <c r="H21" s="5" t="s">
        <v>350</v>
      </c>
      <c r="I21" s="11" t="s">
        <v>173</v>
      </c>
      <c r="J21" s="6">
        <v>2</v>
      </c>
      <c r="K21" s="9" t="s">
        <v>98</v>
      </c>
      <c r="L21" s="6" t="s">
        <v>29</v>
      </c>
      <c r="M21" s="5" t="s">
        <v>349</v>
      </c>
    </row>
    <row r="22" ht="211.6" customHeight="1" spans="2:13" x14ac:dyDescent="0.25">
      <c r="B22" s="4" t="s">
        <v>132</v>
      </c>
      <c r="C22" s="5" t="s">
        <v>351</v>
      </c>
      <c r="D22" s="6" t="s">
        <v>93</v>
      </c>
      <c r="E22" s="6" t="s">
        <v>128</v>
      </c>
      <c r="F22" s="6" t="s">
        <v>126</v>
      </c>
      <c r="G22" s="5" t="s">
        <v>127</v>
      </c>
      <c r="H22" s="5" t="s">
        <v>352</v>
      </c>
      <c r="I22" s="7" t="s">
        <v>25</v>
      </c>
      <c r="J22" s="6">
        <v>3</v>
      </c>
      <c r="K22" s="9" t="s">
        <v>98</v>
      </c>
      <c r="L22" s="6" t="s">
        <v>29</v>
      </c>
      <c r="M22" s="5" t="s">
        <v>353</v>
      </c>
    </row>
    <row r="23" ht="312.4" customHeight="1" spans="2:13" x14ac:dyDescent="0.25">
      <c r="B23" s="4" t="s">
        <v>120</v>
      </c>
      <c r="C23" s="5" t="s">
        <v>354</v>
      </c>
      <c r="D23" s="6" t="s">
        <v>115</v>
      </c>
      <c r="E23" s="6" t="s">
        <v>117</v>
      </c>
      <c r="F23" s="6" t="s">
        <v>113</v>
      </c>
      <c r="G23" s="5" t="s">
        <v>114</v>
      </c>
      <c r="H23" s="5" t="s">
        <v>355</v>
      </c>
      <c r="I23" s="7" t="s">
        <v>25</v>
      </c>
      <c r="J23" s="6">
        <v>5</v>
      </c>
      <c r="K23" s="9" t="s">
        <v>98</v>
      </c>
      <c r="L23" s="6" t="s">
        <v>29</v>
      </c>
      <c r="M23" s="5" t="s">
        <v>356</v>
      </c>
    </row>
    <row r="24" ht="236.79999999999998" customHeight="1" spans="2:13" x14ac:dyDescent="0.25">
      <c r="B24" s="4" t="s">
        <v>120</v>
      </c>
      <c r="C24" s="5" t="s">
        <v>354</v>
      </c>
      <c r="D24" s="6" t="s">
        <v>115</v>
      </c>
      <c r="E24" s="6" t="s">
        <v>117</v>
      </c>
      <c r="F24" s="6" t="s">
        <v>122</v>
      </c>
      <c r="G24" s="5" t="s">
        <v>123</v>
      </c>
      <c r="H24" s="5" t="s">
        <v>357</v>
      </c>
      <c r="I24" s="7" t="s">
        <v>25</v>
      </c>
      <c r="J24" s="6">
        <v>3</v>
      </c>
      <c r="K24" s="9" t="s">
        <v>98</v>
      </c>
      <c r="L24" s="6" t="s">
        <v>29</v>
      </c>
      <c r="M24" s="5" t="s">
        <v>356</v>
      </c>
    </row>
    <row r="25" ht="211.6" customHeight="1" spans="2:13" x14ac:dyDescent="0.25">
      <c r="B25" s="4" t="s">
        <v>120</v>
      </c>
      <c r="C25" s="5" t="s">
        <v>354</v>
      </c>
      <c r="D25" s="6" t="s">
        <v>115</v>
      </c>
      <c r="E25" s="6" t="s">
        <v>117</v>
      </c>
      <c r="F25" s="6" t="s">
        <v>285</v>
      </c>
      <c r="G25" s="5" t="s">
        <v>286</v>
      </c>
      <c r="H25" s="5" t="s">
        <v>358</v>
      </c>
      <c r="I25" s="13" t="s">
        <v>288</v>
      </c>
      <c r="J25" s="6">
        <v>5</v>
      </c>
      <c r="K25" s="12" t="s">
        <v>220</v>
      </c>
      <c r="L25" s="6" t="s">
        <v>221</v>
      </c>
      <c r="M25" s="5" t="s">
        <v>356</v>
      </c>
    </row>
    <row r="26" ht="199" customHeight="1" spans="2:13" x14ac:dyDescent="0.25">
      <c r="B26" s="4" t="s">
        <v>190</v>
      </c>
      <c r="C26" s="5" t="s">
        <v>359</v>
      </c>
      <c r="D26" s="6" t="s">
        <v>115</v>
      </c>
      <c r="E26" s="6" t="s">
        <v>187</v>
      </c>
      <c r="F26" s="6" t="s">
        <v>185</v>
      </c>
      <c r="G26" s="5" t="s">
        <v>186</v>
      </c>
      <c r="H26" s="5" t="s">
        <v>360</v>
      </c>
      <c r="I26" s="11" t="s">
        <v>173</v>
      </c>
      <c r="J26" s="6">
        <v>3</v>
      </c>
      <c r="K26" s="9" t="s">
        <v>98</v>
      </c>
      <c r="L26" s="6" t="s">
        <v>29</v>
      </c>
      <c r="M26" s="5" t="s">
        <v>361</v>
      </c>
    </row>
    <row r="27" ht="274.59999999999997" customHeight="1" spans="2:13" x14ac:dyDescent="0.25">
      <c r="B27" s="4" t="s">
        <v>197</v>
      </c>
      <c r="C27" s="5" t="s">
        <v>362</v>
      </c>
      <c r="D27" s="6" t="s">
        <v>115</v>
      </c>
      <c r="E27" s="6" t="s">
        <v>194</v>
      </c>
      <c r="F27" s="6" t="s">
        <v>192</v>
      </c>
      <c r="G27" s="5" t="s">
        <v>193</v>
      </c>
      <c r="H27" s="5" t="s">
        <v>363</v>
      </c>
      <c r="I27" s="11" t="s">
        <v>173</v>
      </c>
      <c r="J27" s="6">
        <v>5</v>
      </c>
      <c r="K27" s="9" t="s">
        <v>98</v>
      </c>
      <c r="L27" s="6" t="s">
        <v>29</v>
      </c>
      <c r="M27" s="5" t="s">
        <v>364</v>
      </c>
    </row>
    <row r="28" ht="262" customHeight="1" spans="2:13" x14ac:dyDescent="0.25">
      <c r="B28" s="4" t="s">
        <v>143</v>
      </c>
      <c r="C28" s="5" t="s">
        <v>365</v>
      </c>
      <c r="D28" s="6" t="s">
        <v>136</v>
      </c>
      <c r="E28" s="6" t="s">
        <v>138</v>
      </c>
      <c r="F28" s="6" t="s">
        <v>134</v>
      </c>
      <c r="G28" s="5" t="s">
        <v>135</v>
      </c>
      <c r="H28" s="5" t="s">
        <v>366</v>
      </c>
      <c r="I28" s="7" t="s">
        <v>25</v>
      </c>
      <c r="J28" s="6">
        <v>3</v>
      </c>
      <c r="K28" s="10" t="s">
        <v>142</v>
      </c>
      <c r="L28" s="6" t="s">
        <v>29</v>
      </c>
      <c r="M28" s="5" t="s">
        <v>367</v>
      </c>
    </row>
    <row r="29" ht="136" customHeight="1" spans="2:13" x14ac:dyDescent="0.25">
      <c r="B29" s="4" t="s">
        <v>215</v>
      </c>
      <c r="C29" s="5" t="s">
        <v>368</v>
      </c>
      <c r="D29" s="6" t="s">
        <v>136</v>
      </c>
      <c r="E29" s="6" t="s">
        <v>138</v>
      </c>
      <c r="F29" s="6" t="s">
        <v>212</v>
      </c>
      <c r="G29" s="5" t="s">
        <v>213</v>
      </c>
      <c r="H29" s="5" t="s">
        <v>369</v>
      </c>
      <c r="I29" s="11" t="s">
        <v>173</v>
      </c>
      <c r="J29" s="6">
        <v>2</v>
      </c>
      <c r="K29" s="10" t="s">
        <v>142</v>
      </c>
      <c r="L29" s="6" t="s">
        <v>29</v>
      </c>
      <c r="M29" s="5" t="s">
        <v>370</v>
      </c>
    </row>
    <row r="30" ht="199" customHeight="1" spans="2:13" x14ac:dyDescent="0.25">
      <c r="B30" s="4" t="s">
        <v>150</v>
      </c>
      <c r="C30" s="5" t="s">
        <v>371</v>
      </c>
      <c r="D30" s="6" t="s">
        <v>136</v>
      </c>
      <c r="E30" s="6" t="s">
        <v>147</v>
      </c>
      <c r="F30" s="6" t="s">
        <v>145</v>
      </c>
      <c r="G30" s="5" t="s">
        <v>146</v>
      </c>
      <c r="H30" s="5" t="s">
        <v>372</v>
      </c>
      <c r="I30" s="7" t="s">
        <v>25</v>
      </c>
      <c r="J30" s="6">
        <v>5</v>
      </c>
      <c r="K30" s="10" t="s">
        <v>142</v>
      </c>
      <c r="L30" s="6" t="s">
        <v>29</v>
      </c>
      <c r="M30" s="5" t="s">
        <v>373</v>
      </c>
    </row>
    <row r="31" ht="136" customHeight="1" spans="2:13" x14ac:dyDescent="0.25">
      <c r="B31" s="4" t="s">
        <v>150</v>
      </c>
      <c r="C31" s="5" t="s">
        <v>371</v>
      </c>
      <c r="D31" s="6" t="s">
        <v>136</v>
      </c>
      <c r="E31" s="6" t="s">
        <v>147</v>
      </c>
      <c r="F31" s="6" t="s">
        <v>217</v>
      </c>
      <c r="G31" s="5" t="s">
        <v>218</v>
      </c>
      <c r="H31" s="5" t="s">
        <v>374</v>
      </c>
      <c r="I31" s="11" t="s">
        <v>173</v>
      </c>
      <c r="J31" s="6">
        <v>3</v>
      </c>
      <c r="K31" s="12" t="s">
        <v>220</v>
      </c>
      <c r="L31" s="6" t="s">
        <v>221</v>
      </c>
      <c r="M31" s="5" t="s">
        <v>373</v>
      </c>
    </row>
    <row r="32" ht="211.6" customHeight="1" spans="2:13" x14ac:dyDescent="0.25">
      <c r="B32" s="4" t="s">
        <v>162</v>
      </c>
      <c r="C32" s="5" t="s">
        <v>375</v>
      </c>
      <c r="D32" s="6" t="s">
        <v>136</v>
      </c>
      <c r="E32" s="6" t="s">
        <v>154</v>
      </c>
      <c r="F32" s="6" t="s">
        <v>159</v>
      </c>
      <c r="G32" s="5" t="s">
        <v>160</v>
      </c>
      <c r="H32" s="5" t="s">
        <v>376</v>
      </c>
      <c r="I32" s="7" t="s">
        <v>25</v>
      </c>
      <c r="J32" s="6">
        <v>5</v>
      </c>
      <c r="K32" s="10" t="s">
        <v>142</v>
      </c>
      <c r="L32" s="6" t="s">
        <v>29</v>
      </c>
      <c r="M32" s="5" t="s">
        <v>377</v>
      </c>
    </row>
    <row r="33" ht="136" customHeight="1" spans="2:13" x14ac:dyDescent="0.25">
      <c r="B33" s="4" t="s">
        <v>162</v>
      </c>
      <c r="C33" s="5" t="s">
        <v>375</v>
      </c>
      <c r="D33" s="6" t="s">
        <v>136</v>
      </c>
      <c r="E33" s="6" t="s">
        <v>154</v>
      </c>
      <c r="F33" s="6" t="s">
        <v>164</v>
      </c>
      <c r="G33" s="5" t="s">
        <v>165</v>
      </c>
      <c r="H33" s="5" t="s">
        <v>378</v>
      </c>
      <c r="I33" s="7" t="s">
        <v>25</v>
      </c>
      <c r="J33" s="6">
        <v>3</v>
      </c>
      <c r="K33" s="10" t="s">
        <v>142</v>
      </c>
      <c r="L33" s="6" t="s">
        <v>29</v>
      </c>
      <c r="M33" s="5" t="s">
        <v>377</v>
      </c>
    </row>
    <row r="34" ht="199" customHeight="1" spans="2:13" x14ac:dyDescent="0.25">
      <c r="B34" s="4" t="s">
        <v>157</v>
      </c>
      <c r="C34" s="5" t="s">
        <v>379</v>
      </c>
      <c r="D34" s="6" t="s">
        <v>136</v>
      </c>
      <c r="E34" s="6" t="s">
        <v>154</v>
      </c>
      <c r="F34" s="6" t="s">
        <v>152</v>
      </c>
      <c r="G34" s="5" t="s">
        <v>153</v>
      </c>
      <c r="H34" s="5" t="s">
        <v>380</v>
      </c>
      <c r="I34" s="7" t="s">
        <v>25</v>
      </c>
      <c r="J34" s="6">
        <v>3</v>
      </c>
      <c r="K34" s="10" t="s">
        <v>142</v>
      </c>
      <c r="L34" s="6" t="s">
        <v>29</v>
      </c>
      <c r="M34" s="5" t="s">
        <v>381</v>
      </c>
    </row>
    <row r="35" ht="199" customHeight="1" spans="2:13" x14ac:dyDescent="0.25">
      <c r="B35" s="4" t="s">
        <v>243</v>
      </c>
      <c r="C35" s="5" t="s">
        <v>382</v>
      </c>
      <c r="D35" s="6" t="s">
        <v>136</v>
      </c>
      <c r="E35" s="6" t="s">
        <v>154</v>
      </c>
      <c r="F35" s="6" t="s">
        <v>239</v>
      </c>
      <c r="G35" s="5" t="s">
        <v>240</v>
      </c>
      <c r="H35" s="5" t="s">
        <v>383</v>
      </c>
      <c r="I35" s="11" t="s">
        <v>173</v>
      </c>
      <c r="J35" s="6">
        <v>5</v>
      </c>
      <c r="K35" s="12" t="s">
        <v>220</v>
      </c>
      <c r="L35" s="6" t="s">
        <v>221</v>
      </c>
      <c r="M35" s="5" t="s">
        <v>384</v>
      </c>
    </row>
    <row r="36" ht="249.4" customHeight="1" spans="2:13" x14ac:dyDescent="0.25">
      <c r="B36" s="4" t="s">
        <v>35</v>
      </c>
      <c r="C36" s="5" t="s">
        <v>385</v>
      </c>
      <c r="D36" s="6" t="s">
        <v>20</v>
      </c>
      <c r="E36" s="6" t="s">
        <v>22</v>
      </c>
      <c r="F36" s="6" t="s">
        <v>386</v>
      </c>
      <c r="G36" s="5" t="s">
        <v>33</v>
      </c>
      <c r="H36" s="5" t="s">
        <v>387</v>
      </c>
      <c r="I36" s="7" t="s">
        <v>25</v>
      </c>
      <c r="J36" s="6">
        <v>3</v>
      </c>
      <c r="K36" s="8" t="s">
        <v>28</v>
      </c>
      <c r="L36" s="6" t="s">
        <v>29</v>
      </c>
      <c r="M36" s="5" t="s">
        <v>388</v>
      </c>
    </row>
    <row r="37" ht="299.8" customHeight="1" spans="2:13" x14ac:dyDescent="0.25">
      <c r="B37" s="4" t="s">
        <v>175</v>
      </c>
      <c r="C37" s="5" t="s">
        <v>389</v>
      </c>
      <c r="D37" s="6" t="s">
        <v>20</v>
      </c>
      <c r="E37" s="6" t="s">
        <v>170</v>
      </c>
      <c r="F37" s="6" t="s">
        <v>168</v>
      </c>
      <c r="G37" s="5" t="s">
        <v>169</v>
      </c>
      <c r="H37" s="5" t="s">
        <v>390</v>
      </c>
      <c r="I37" s="11" t="s">
        <v>173</v>
      </c>
      <c r="J37" s="6">
        <v>5</v>
      </c>
      <c r="K37" s="8" t="s">
        <v>28</v>
      </c>
      <c r="L37" s="6" t="s">
        <v>29</v>
      </c>
      <c r="M37" s="5" t="s">
        <v>391</v>
      </c>
    </row>
    <row r="38" ht="325" customHeight="1" spans="2:13" x14ac:dyDescent="0.25">
      <c r="B38" s="4" t="s">
        <v>175</v>
      </c>
      <c r="C38" s="5" t="s">
        <v>389</v>
      </c>
      <c r="D38" s="6" t="s">
        <v>20</v>
      </c>
      <c r="E38" s="6" t="s">
        <v>179</v>
      </c>
      <c r="F38" s="6" t="s">
        <v>177</v>
      </c>
      <c r="G38" s="5" t="s">
        <v>178</v>
      </c>
      <c r="H38" s="5" t="s">
        <v>313</v>
      </c>
      <c r="I38" s="11" t="s">
        <v>173</v>
      </c>
      <c r="J38" s="6">
        <v>5</v>
      </c>
      <c r="K38" s="9" t="s">
        <v>98</v>
      </c>
      <c r="L38" s="6" t="s">
        <v>29</v>
      </c>
      <c r="M38" s="5" t="s">
        <v>391</v>
      </c>
    </row>
    <row r="39" ht="199" customHeight="1" spans="2:13" x14ac:dyDescent="0.25">
      <c r="B39" s="4" t="s">
        <v>237</v>
      </c>
      <c r="C39" s="5" t="s">
        <v>392</v>
      </c>
      <c r="D39" s="6" t="s">
        <v>201</v>
      </c>
      <c r="E39" s="6" t="s">
        <v>233</v>
      </c>
      <c r="F39" s="6" t="s">
        <v>393</v>
      </c>
      <c r="G39" s="5" t="s">
        <v>232</v>
      </c>
      <c r="H39" s="5" t="s">
        <v>394</v>
      </c>
      <c r="I39" s="11" t="s">
        <v>173</v>
      </c>
      <c r="J39" s="6">
        <v>3</v>
      </c>
      <c r="K39" s="10" t="s">
        <v>142</v>
      </c>
      <c r="L39" s="6" t="s">
        <v>29</v>
      </c>
      <c r="M39" s="5" t="s">
        <v>395</v>
      </c>
    </row>
    <row r="40" ht="211.6" customHeight="1" spans="2:13" x14ac:dyDescent="0.25">
      <c r="B40" s="4" t="s">
        <v>229</v>
      </c>
      <c r="C40" s="5" t="s">
        <v>396</v>
      </c>
      <c r="D40" s="6" t="s">
        <v>201</v>
      </c>
      <c r="E40" s="6" t="s">
        <v>225</v>
      </c>
      <c r="F40" s="6" t="s">
        <v>397</v>
      </c>
      <c r="G40" s="5" t="s">
        <v>224</v>
      </c>
      <c r="H40" s="5" t="s">
        <v>398</v>
      </c>
      <c r="I40" s="11" t="s">
        <v>173</v>
      </c>
      <c r="J40" s="6">
        <v>5</v>
      </c>
      <c r="K40" s="12" t="s">
        <v>220</v>
      </c>
      <c r="L40" s="6" t="s">
        <v>221</v>
      </c>
      <c r="M40" s="5" t="s">
        <v>399</v>
      </c>
    </row>
    <row r="41" ht="123.39999999999999" customHeight="1" spans="2:13" x14ac:dyDescent="0.25">
      <c r="B41" s="4" t="s">
        <v>229</v>
      </c>
      <c r="C41" s="5" t="s">
        <v>396</v>
      </c>
      <c r="D41" s="6" t="s">
        <v>201</v>
      </c>
      <c r="E41" s="6" t="s">
        <v>225</v>
      </c>
      <c r="F41" s="6" t="s">
        <v>291</v>
      </c>
      <c r="G41" s="5" t="s">
        <v>292</v>
      </c>
      <c r="H41" s="5" t="s">
        <v>400</v>
      </c>
      <c r="I41" s="13" t="s">
        <v>288</v>
      </c>
      <c r="J41" s="6">
        <v>3</v>
      </c>
      <c r="K41" s="12" t="s">
        <v>220</v>
      </c>
      <c r="L41" s="6" t="s">
        <v>221</v>
      </c>
      <c r="M41" s="5" t="s">
        <v>399</v>
      </c>
    </row>
    <row r="42" ht="287.2" customHeight="1" spans="2:13" x14ac:dyDescent="0.25">
      <c r="B42" s="4" t="s">
        <v>206</v>
      </c>
      <c r="C42" s="5" t="s">
        <v>401</v>
      </c>
      <c r="D42" s="6" t="s">
        <v>201</v>
      </c>
      <c r="E42" s="6" t="s">
        <v>203</v>
      </c>
      <c r="F42" s="6" t="s">
        <v>402</v>
      </c>
      <c r="G42" s="5" t="s">
        <v>200</v>
      </c>
      <c r="H42" s="5" t="s">
        <v>403</v>
      </c>
      <c r="I42" s="11" t="s">
        <v>173</v>
      </c>
      <c r="J42" s="6">
        <v>5</v>
      </c>
      <c r="K42" s="10" t="s">
        <v>142</v>
      </c>
      <c r="L42" s="6" t="s">
        <v>29</v>
      </c>
      <c r="M42" s="5" t="s">
        <v>404</v>
      </c>
    </row>
    <row r="43" ht="161.2" customHeight="1" spans="2:13" x14ac:dyDescent="0.25">
      <c r="B43" s="4" t="s">
        <v>274</v>
      </c>
      <c r="C43" s="5" t="s">
        <v>405</v>
      </c>
      <c r="D43" s="6" t="s">
        <v>201</v>
      </c>
      <c r="E43" s="6" t="s">
        <v>270</v>
      </c>
      <c r="F43" s="6" t="s">
        <v>406</v>
      </c>
      <c r="G43" s="5" t="s">
        <v>269</v>
      </c>
      <c r="H43" s="5" t="s">
        <v>407</v>
      </c>
      <c r="I43" s="11" t="s">
        <v>173</v>
      </c>
      <c r="J43" s="6">
        <v>3</v>
      </c>
      <c r="K43" s="10" t="s">
        <v>142</v>
      </c>
      <c r="L43" s="6" t="s">
        <v>29</v>
      </c>
      <c r="M43" s="5" t="s">
        <v>408</v>
      </c>
    </row>
    <row r="44" ht="312.4" customHeight="1" spans="2:13" x14ac:dyDescent="0.25">
      <c r="B44" s="4" t="s">
        <v>279</v>
      </c>
      <c r="C44" s="5" t="s">
        <v>409</v>
      </c>
      <c r="D44" s="6" t="s">
        <v>201</v>
      </c>
      <c r="E44" s="6" t="s">
        <v>270</v>
      </c>
      <c r="F44" s="6" t="s">
        <v>410</v>
      </c>
      <c r="G44" s="5" t="s">
        <v>277</v>
      </c>
      <c r="H44" s="5" t="s">
        <v>411</v>
      </c>
      <c r="I44" s="11" t="s">
        <v>173</v>
      </c>
      <c r="J44" s="6">
        <v>3</v>
      </c>
      <c r="K44" s="10" t="s">
        <v>142</v>
      </c>
      <c r="L44" s="6" t="s">
        <v>29</v>
      </c>
      <c r="M44" s="5" t="s">
        <v>412</v>
      </c>
    </row>
    <row r="45" ht="47.8" customHeight="1" spans="2:13" x14ac:dyDescent="0.25">
      <c r="B45" s="4" t="s">
        <v>413</v>
      </c>
      <c r="C45" s="5" t="s">
        <v>414</v>
      </c>
      <c r="D45" s="6" t="s">
        <v>415</v>
      </c>
      <c r="E45" s="6" t="s">
        <v>415</v>
      </c>
      <c r="F45" s="6" t="s">
        <v>415</v>
      </c>
      <c r="G45" s="5" t="s">
        <v>416</v>
      </c>
      <c r="H45" s="5" t="s">
        <v>415</v>
      </c>
      <c r="I45" s="21" t="s">
        <v>417</v>
      </c>
      <c r="J45" s="6" t="s">
        <v>415</v>
      </c>
      <c r="K45" s="12" t="s">
        <v>418</v>
      </c>
      <c r="L45" s="6" t="s">
        <v>418</v>
      </c>
      <c r="M45" s="5" t="s">
        <v>419</v>
      </c>
    </row>
    <row r="46" ht="47.8" customHeight="1" spans="2:13" x14ac:dyDescent="0.25">
      <c r="B46" s="4" t="s">
        <v>420</v>
      </c>
      <c r="C46" s="5" t="s">
        <v>421</v>
      </c>
      <c r="D46" s="6" t="s">
        <v>415</v>
      </c>
      <c r="E46" s="6" t="s">
        <v>415</v>
      </c>
      <c r="F46" s="6" t="s">
        <v>415</v>
      </c>
      <c r="G46" s="5" t="s">
        <v>416</v>
      </c>
      <c r="H46" s="5" t="s">
        <v>415</v>
      </c>
      <c r="I46" s="21" t="s">
        <v>417</v>
      </c>
      <c r="J46" s="6" t="s">
        <v>415</v>
      </c>
      <c r="K46" s="12" t="s">
        <v>418</v>
      </c>
      <c r="L46" s="6" t="s">
        <v>418</v>
      </c>
      <c r="M46" s="5" t="s">
        <v>422</v>
      </c>
    </row>
    <row r="49" ht="28" customHeight="1" spans="3:4" x14ac:dyDescent="0.25">
      <c r="C49" s="22" t="s">
        <v>423</v>
      </c>
      <c r="D49" s="23"/>
    </row>
    <row r="50" ht="28" customHeight="1" spans="3:4" x14ac:dyDescent="0.25">
      <c r="C50" s="24" t="s">
        <v>424</v>
      </c>
      <c r="D50" s="25">
        <v>30</v>
      </c>
    </row>
    <row r="51" ht="28" customHeight="1" spans="3:4" x14ac:dyDescent="0.25">
      <c r="C51" s="24" t="s">
        <v>425</v>
      </c>
      <c r="D51" s="25">
        <v>28</v>
      </c>
    </row>
    <row r="52" ht="28" customHeight="1" spans="3:4" x14ac:dyDescent="0.25">
      <c r="C52" s="24" t="s">
        <v>426</v>
      </c>
      <c r="D52" s="25">
        <v>28</v>
      </c>
    </row>
    <row r="53" ht="28" customHeight="1" spans="3:4" x14ac:dyDescent="0.25">
      <c r="C53" s="24" t="s">
        <v>427</v>
      </c>
      <c r="D53" s="25" t="s">
        <v>428</v>
      </c>
    </row>
    <row r="54" ht="28" customHeight="1" spans="3:4" x14ac:dyDescent="0.25">
      <c r="C54" s="24" t="s">
        <v>429</v>
      </c>
      <c r="D54" s="25" t="s">
        <v>430</v>
      </c>
    </row>
    <row r="55" ht="40" customHeight="1" spans="3:4" x14ac:dyDescent="0.25">
      <c r="C55" s="24" t="s">
        <v>431</v>
      </c>
      <c r="D55" s="25" t="s">
        <v>432</v>
      </c>
    </row>
    <row r="56" ht="40" customHeight="1" spans="3:4" x14ac:dyDescent="0.25">
      <c r="C56" s="24" t="s">
        <v>433</v>
      </c>
      <c r="D56" s="25" t="s">
        <v>434</v>
      </c>
    </row>
    <row r="57" ht="40" customHeight="1" spans="3:4" x14ac:dyDescent="0.25">
      <c r="C57" s="24" t="s">
        <v>435</v>
      </c>
      <c r="D57" s="25" t="s">
        <v>436</v>
      </c>
    </row>
  </sheetData>
  <autoFilter ref="B2:M46"/>
  <mergeCells count="1">
    <mergeCell ref="F1:M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45"/>
  <sheetViews>
    <sheetView workbookViewId="0" showGridLines="0" zoomScale="90" zoomScaleNormal="100">
      <pane ySplit="2" topLeftCell="A3" activePane="bottomLeft" state="frozen"/>
      <selection pane="bottomLeft"/>
    </sheetView>
  </sheetViews>
  <sheetFormatPr defaultRowHeight="15" outlineLevelRow="0" outlineLevelCol="0" x14ac:dyDescent="55"/>
  <cols>
    <col min="1" max="1" width="3.43" customWidth="1"/>
    <col min="2" max="2" width="26" customWidth="1"/>
    <col min="3" max="3" width="90" customWidth="1"/>
    <col min="4" max="4" width="34" customWidth="1"/>
  </cols>
  <sheetData>
    <row r="1" ht="50.1" customHeight="1" spans="2:2" x14ac:dyDescent="0.25">
      <c r="B1" s="1" t="s">
        <v>1056</v>
      </c>
    </row>
    <row r="2" ht="45" customHeight="1" spans="2:4" x14ac:dyDescent="0.25">
      <c r="B2" s="3" t="s">
        <v>1057</v>
      </c>
      <c r="C2" s="3" t="s">
        <v>1058</v>
      </c>
      <c r="D2" s="3" t="s">
        <v>1059</v>
      </c>
    </row>
    <row r="3" ht="22" customHeight="1" spans="2:4" x14ac:dyDescent="0.25">
      <c r="B3" s="40" t="s">
        <v>1060</v>
      </c>
      <c r="C3" s="36"/>
      <c r="D3" s="36"/>
    </row>
    <row r="4" ht="30" customHeight="1" spans="2:4" x14ac:dyDescent="0.25">
      <c r="B4" s="24" t="s">
        <v>1061</v>
      </c>
      <c r="C4" s="41" t="s">
        <v>1062</v>
      </c>
      <c r="D4" s="41" t="s">
        <v>1063</v>
      </c>
    </row>
    <row r="5" ht="30" customHeight="1" spans="2:4" x14ac:dyDescent="0.25">
      <c r="B5" s="24" t="s">
        <v>1064</v>
      </c>
      <c r="C5" s="41" t="s">
        <v>1065</v>
      </c>
      <c r="D5" s="41" t="s">
        <v>1063</v>
      </c>
    </row>
    <row r="6" ht="47.8" customHeight="1" spans="2:4" x14ac:dyDescent="0.25">
      <c r="B6" s="24" t="s">
        <v>4</v>
      </c>
      <c r="C6" s="41" t="s">
        <v>1066</v>
      </c>
      <c r="D6" s="41" t="s">
        <v>1067</v>
      </c>
    </row>
    <row r="7" ht="35.2" customHeight="1" spans="2:4" x14ac:dyDescent="0.25">
      <c r="B7" s="24" t="s">
        <v>309</v>
      </c>
      <c r="C7" s="41" t="s">
        <v>1068</v>
      </c>
      <c r="D7" s="41" t="s">
        <v>1069</v>
      </c>
    </row>
    <row r="8" ht="35.2" customHeight="1" spans="2:4" x14ac:dyDescent="0.25">
      <c r="B8" s="24" t="s">
        <v>1070</v>
      </c>
      <c r="C8" s="41" t="s">
        <v>1071</v>
      </c>
      <c r="D8" s="41" t="s">
        <v>1072</v>
      </c>
    </row>
    <row r="9" ht="35.2" customHeight="1" spans="2:4" x14ac:dyDescent="0.25">
      <c r="B9" s="24" t="s">
        <v>1073</v>
      </c>
      <c r="C9" s="41" t="s">
        <v>1074</v>
      </c>
      <c r="D9" s="41" t="s">
        <v>1075</v>
      </c>
    </row>
    <row r="10" ht="35.2" customHeight="1" spans="2:4" x14ac:dyDescent="0.25">
      <c r="B10" s="24" t="s">
        <v>221</v>
      </c>
      <c r="C10" s="41" t="s">
        <v>1076</v>
      </c>
      <c r="D10" s="41" t="s">
        <v>1067</v>
      </c>
    </row>
    <row r="11" ht="45.8" customHeight="1" spans="2:4" x14ac:dyDescent="0.25">
      <c r="B11" s="24" t="s">
        <v>29</v>
      </c>
      <c r="C11" s="41" t="s">
        <v>1077</v>
      </c>
      <c r="D11" s="41" t="s">
        <v>1078</v>
      </c>
    </row>
    <row r="12" ht="47.8" customHeight="1" spans="2:4" x14ac:dyDescent="0.25">
      <c r="B12" s="24" t="s">
        <v>468</v>
      </c>
      <c r="C12" s="41" t="s">
        <v>1079</v>
      </c>
      <c r="D12" s="41" t="s">
        <v>13</v>
      </c>
    </row>
    <row r="14" ht="22" customHeight="1" spans="2:4" x14ac:dyDescent="0.25">
      <c r="B14" s="40" t="s">
        <v>10</v>
      </c>
      <c r="C14" s="36"/>
      <c r="D14" s="36"/>
    </row>
    <row r="15" ht="35.2" customHeight="1" spans="2:4" x14ac:dyDescent="0.25">
      <c r="B15" s="24" t="s">
        <v>25</v>
      </c>
      <c r="C15" s="41" t="s">
        <v>1080</v>
      </c>
      <c r="D15" s="41" t="s">
        <v>10</v>
      </c>
    </row>
    <row r="16" ht="35.2" customHeight="1" spans="2:4" x14ac:dyDescent="0.25">
      <c r="B16" s="24" t="s">
        <v>173</v>
      </c>
      <c r="C16" s="41" t="s">
        <v>1081</v>
      </c>
      <c r="D16" s="41" t="s">
        <v>10</v>
      </c>
    </row>
    <row r="17" ht="30" customHeight="1" spans="2:4" x14ac:dyDescent="0.25">
      <c r="B17" s="24" t="s">
        <v>288</v>
      </c>
      <c r="C17" s="41" t="s">
        <v>1082</v>
      </c>
      <c r="D17" s="41" t="s">
        <v>10</v>
      </c>
    </row>
    <row r="18" ht="35.2" customHeight="1" spans="2:4" x14ac:dyDescent="0.25">
      <c r="B18" s="24" t="s">
        <v>417</v>
      </c>
      <c r="C18" s="41" t="s">
        <v>1083</v>
      </c>
      <c r="D18" s="41" t="s">
        <v>1084</v>
      </c>
    </row>
    <row r="19" ht="30" customHeight="1" spans="2:4" x14ac:dyDescent="0.25">
      <c r="B19" s="24" t="s">
        <v>11</v>
      </c>
      <c r="C19" s="41" t="s">
        <v>1085</v>
      </c>
      <c r="D19" s="41" t="s">
        <v>11</v>
      </c>
    </row>
    <row r="20" ht="47.8" customHeight="1" spans="2:4" x14ac:dyDescent="0.25">
      <c r="B20" s="24" t="s">
        <v>1086</v>
      </c>
      <c r="C20" s="41" t="s">
        <v>1087</v>
      </c>
      <c r="D20" s="41" t="s">
        <v>2</v>
      </c>
    </row>
    <row r="22" ht="22" customHeight="1" spans="2:4" x14ac:dyDescent="0.25">
      <c r="B22" s="40" t="s">
        <v>12</v>
      </c>
      <c r="C22" s="36"/>
      <c r="D22" s="36"/>
    </row>
    <row r="23" ht="30" customHeight="1" spans="2:4" x14ac:dyDescent="0.25">
      <c r="B23" s="24" t="s">
        <v>1088</v>
      </c>
      <c r="C23" s="41" t="s">
        <v>1089</v>
      </c>
      <c r="D23" s="41" t="s">
        <v>12</v>
      </c>
    </row>
    <row r="24" ht="30" customHeight="1" spans="2:4" x14ac:dyDescent="0.25">
      <c r="B24" s="24" t="s">
        <v>1090</v>
      </c>
      <c r="C24" s="41" t="s">
        <v>1091</v>
      </c>
      <c r="D24" s="41" t="s">
        <v>12</v>
      </c>
    </row>
    <row r="25" ht="35.2" customHeight="1" spans="2:4" x14ac:dyDescent="0.25">
      <c r="B25" s="24" t="s">
        <v>1092</v>
      </c>
      <c r="C25" s="41" t="s">
        <v>1093</v>
      </c>
      <c r="D25" s="41" t="s">
        <v>12</v>
      </c>
    </row>
    <row r="27" ht="22" customHeight="1" spans="2:4" x14ac:dyDescent="0.25">
      <c r="B27" s="40" t="s">
        <v>1094</v>
      </c>
      <c r="C27" s="36"/>
      <c r="D27" s="36"/>
    </row>
    <row r="28" ht="33.2" customHeight="1" spans="2:4" x14ac:dyDescent="0.25">
      <c r="B28" s="24" t="s">
        <v>221</v>
      </c>
      <c r="C28" s="41" t="s">
        <v>1095</v>
      </c>
      <c r="D28" s="41" t="s">
        <v>15</v>
      </c>
    </row>
    <row r="29" ht="33.2" customHeight="1" spans="2:4" x14ac:dyDescent="0.25">
      <c r="B29" s="24" t="s">
        <v>29</v>
      </c>
      <c r="C29" s="41" t="s">
        <v>1096</v>
      </c>
      <c r="D29" s="41" t="s">
        <v>1097</v>
      </c>
    </row>
    <row r="30" ht="33.2" customHeight="1" spans="2:4" x14ac:dyDescent="0.25">
      <c r="B30" s="24" t="s">
        <v>475</v>
      </c>
      <c r="C30" s="41" t="s">
        <v>1098</v>
      </c>
      <c r="D30" s="41" t="s">
        <v>1099</v>
      </c>
    </row>
    <row r="31" ht="45.8" customHeight="1" spans="2:4" x14ac:dyDescent="0.25">
      <c r="B31" s="24" t="s">
        <v>1100</v>
      </c>
      <c r="C31" s="41" t="s">
        <v>1101</v>
      </c>
      <c r="D31" s="41" t="s">
        <v>1102</v>
      </c>
    </row>
    <row r="32" ht="33.2" customHeight="1" spans="2:4" x14ac:dyDescent="0.25">
      <c r="B32" s="24" t="s">
        <v>1103</v>
      </c>
      <c r="C32" s="41" t="s">
        <v>1104</v>
      </c>
      <c r="D32" s="41" t="s">
        <v>1099</v>
      </c>
    </row>
    <row r="33" ht="33.2" customHeight="1" spans="2:4" x14ac:dyDescent="0.25">
      <c r="B33" s="24" t="s">
        <v>1105</v>
      </c>
      <c r="C33" s="41" t="s">
        <v>1106</v>
      </c>
      <c r="D33" s="41" t="s">
        <v>1099</v>
      </c>
    </row>
    <row r="35" ht="22" customHeight="1" spans="2:4" x14ac:dyDescent="0.25">
      <c r="B35" s="40" t="s">
        <v>1107</v>
      </c>
      <c r="C35" s="36"/>
      <c r="D35" s="36"/>
    </row>
    <row r="36" ht="33.2" customHeight="1" spans="2:4" x14ac:dyDescent="0.25">
      <c r="B36" s="24" t="s">
        <v>14</v>
      </c>
      <c r="C36" s="41" t="s">
        <v>1108</v>
      </c>
      <c r="D36" s="41" t="s">
        <v>14</v>
      </c>
    </row>
    <row r="37" ht="35.2" customHeight="1" spans="2:4" x14ac:dyDescent="0.25">
      <c r="B37" s="24" t="s">
        <v>1109</v>
      </c>
      <c r="C37" s="41" t="s">
        <v>1110</v>
      </c>
      <c r="D37" s="41" t="s">
        <v>1111</v>
      </c>
    </row>
    <row r="39" ht="22" customHeight="1" spans="2:4" x14ac:dyDescent="0.25">
      <c r="B39" s="40" t="s">
        <v>1112</v>
      </c>
      <c r="C39" s="36"/>
      <c r="D39" s="36"/>
    </row>
    <row r="40" ht="45.8" customHeight="1" spans="2:4" x14ac:dyDescent="0.25">
      <c r="B40" s="24" t="s">
        <v>1113</v>
      </c>
      <c r="C40" s="41" t="s">
        <v>1114</v>
      </c>
      <c r="D40" s="41" t="s">
        <v>1078</v>
      </c>
    </row>
    <row r="41" ht="33.2" customHeight="1" spans="2:4" x14ac:dyDescent="0.25">
      <c r="B41" s="24" t="s">
        <v>467</v>
      </c>
      <c r="C41" s="41" t="s">
        <v>1115</v>
      </c>
      <c r="D41" s="41" t="s">
        <v>1116</v>
      </c>
    </row>
    <row r="42" ht="33.2" customHeight="1" spans="2:4" x14ac:dyDescent="0.25">
      <c r="B42" s="24" t="s">
        <v>466</v>
      </c>
      <c r="C42" s="41" t="s">
        <v>1117</v>
      </c>
      <c r="D42" s="41" t="s">
        <v>466</v>
      </c>
    </row>
    <row r="43" ht="33.2" customHeight="1" spans="2:4" x14ac:dyDescent="0.25">
      <c r="B43" s="24" t="s">
        <v>1118</v>
      </c>
      <c r="C43" s="41" t="s">
        <v>1119</v>
      </c>
      <c r="D43" s="41" t="s">
        <v>468</v>
      </c>
    </row>
    <row r="44" ht="33.2" customHeight="1" spans="2:4" x14ac:dyDescent="0.25">
      <c r="B44" s="24" t="s">
        <v>220</v>
      </c>
      <c r="C44" s="41" t="s">
        <v>1120</v>
      </c>
      <c r="D44" s="41" t="s">
        <v>14</v>
      </c>
    </row>
    <row r="45" ht="33.2" customHeight="1" spans="2:4" x14ac:dyDescent="0.25">
      <c r="B45" s="24" t="s">
        <v>418</v>
      </c>
      <c r="C45" s="41" t="s">
        <v>1121</v>
      </c>
      <c r="D45" s="41" t="s">
        <v>1084</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80"/>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437</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437</v>
      </c>
      <c r="E3" s="27"/>
      <c r="F3" s="27"/>
      <c r="G3" s="27"/>
      <c r="H3" s="27"/>
      <c r="I3" s="27"/>
      <c r="J3" s="27"/>
      <c r="K3" s="27"/>
    </row>
    <row r="4" ht="37.2" customHeight="1" spans="2:11" x14ac:dyDescent="0.25">
      <c r="B4" s="22" t="s">
        <v>440</v>
      </c>
      <c r="C4" s="27"/>
      <c r="D4" s="5" t="s">
        <v>441</v>
      </c>
      <c r="E4" s="27"/>
      <c r="F4" s="27"/>
      <c r="G4" s="27"/>
      <c r="H4" s="27"/>
      <c r="I4" s="27"/>
      <c r="J4" s="27"/>
      <c r="K4" s="27"/>
    </row>
    <row r="5" ht="49.8" customHeight="1" spans="2:11" x14ac:dyDescent="0.25">
      <c r="B5" s="22" t="s">
        <v>442</v>
      </c>
      <c r="C5" s="27"/>
      <c r="D5" s="5" t="s">
        <v>443</v>
      </c>
      <c r="E5" s="27"/>
      <c r="F5" s="27"/>
      <c r="G5" s="27"/>
      <c r="H5" s="27"/>
      <c r="I5" s="27"/>
      <c r="J5" s="27"/>
      <c r="K5" s="27"/>
    </row>
    <row r="6" ht="18" customHeight="1" spans="2:11" x14ac:dyDescent="0.25">
      <c r="B6" s="22" t="s">
        <v>303</v>
      </c>
      <c r="C6" s="27"/>
      <c r="D6" s="25">
        <f>SUM(E12:E22)</f>
        <v>34</v>
      </c>
      <c r="E6" s="27"/>
      <c r="F6" s="27"/>
      <c r="G6" s="27"/>
      <c r="H6" s="27"/>
      <c r="I6" s="27"/>
      <c r="J6" s="27"/>
      <c r="K6" s="27"/>
    </row>
    <row r="7" ht="18" customHeight="1" spans="2:11" x14ac:dyDescent="0.25">
      <c r="B7" s="22" t="s">
        <v>444</v>
      </c>
      <c r="C7" s="27"/>
      <c r="D7" s="25">
        <f>SUM(G26:G80)</f>
        <v>202</v>
      </c>
      <c r="E7" s="27"/>
      <c r="F7" s="27"/>
      <c r="G7" s="27"/>
      <c r="H7" s="27"/>
      <c r="I7" s="27"/>
      <c r="J7" s="27"/>
      <c r="K7" s="27"/>
    </row>
    <row r="8" ht="18" customHeight="1" spans="2:11" x14ac:dyDescent="0.25">
      <c r="B8" s="22" t="s">
        <v>445</v>
      </c>
      <c r="C8" s="27"/>
      <c r="D8" s="5" t="s">
        <v>446</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45.8" customHeight="1" spans="2:11" x14ac:dyDescent="0.25">
      <c r="B12" s="4" t="s">
        <v>18</v>
      </c>
      <c r="C12" s="7" t="s">
        <v>25</v>
      </c>
      <c r="D12" s="5" t="s">
        <v>19</v>
      </c>
      <c r="E12" s="6">
        <v>3</v>
      </c>
      <c r="F12" s="5" t="s">
        <v>451</v>
      </c>
      <c r="G12" s="5"/>
      <c r="H12" s="5"/>
      <c r="I12" s="5"/>
      <c r="J12" s="5"/>
      <c r="K12" s="5"/>
    </row>
    <row r="13" ht="58.4" customHeight="1" spans="2:11" x14ac:dyDescent="0.25">
      <c r="B13" s="4" t="s">
        <v>386</v>
      </c>
      <c r="C13" s="7" t="s">
        <v>25</v>
      </c>
      <c r="D13" s="5" t="s">
        <v>33</v>
      </c>
      <c r="E13" s="6">
        <v>3</v>
      </c>
      <c r="F13" s="5" t="s">
        <v>452</v>
      </c>
      <c r="G13" s="5"/>
      <c r="H13" s="5"/>
      <c r="I13" s="5"/>
      <c r="J13" s="5"/>
      <c r="K13" s="5"/>
    </row>
    <row r="14" ht="45.8" customHeight="1" spans="2:11" x14ac:dyDescent="0.25">
      <c r="B14" s="4" t="s">
        <v>37</v>
      </c>
      <c r="C14" s="7" t="s">
        <v>25</v>
      </c>
      <c r="D14" s="5" t="s">
        <v>38</v>
      </c>
      <c r="E14" s="6">
        <v>2</v>
      </c>
      <c r="F14" s="5" t="s">
        <v>453</v>
      </c>
      <c r="G14" s="5"/>
      <c r="H14" s="5"/>
      <c r="I14" s="5"/>
      <c r="J14" s="5"/>
      <c r="K14" s="5"/>
    </row>
    <row r="15" ht="58.4" customHeight="1" spans="2:11" x14ac:dyDescent="0.25">
      <c r="B15" s="4" t="s">
        <v>44</v>
      </c>
      <c r="C15" s="7" t="s">
        <v>25</v>
      </c>
      <c r="D15" s="5" t="s">
        <v>45</v>
      </c>
      <c r="E15" s="6">
        <v>3</v>
      </c>
      <c r="F15" s="5" t="s">
        <v>454</v>
      </c>
      <c r="G15" s="5"/>
      <c r="H15" s="5"/>
      <c r="I15" s="5"/>
      <c r="J15" s="5"/>
      <c r="K15" s="5"/>
    </row>
    <row r="16" ht="71" customHeight="1" spans="2:11" x14ac:dyDescent="0.25">
      <c r="B16" s="4" t="s">
        <v>64</v>
      </c>
      <c r="C16" s="7" t="s">
        <v>25</v>
      </c>
      <c r="D16" s="5" t="s">
        <v>65</v>
      </c>
      <c r="E16" s="6">
        <v>3</v>
      </c>
      <c r="F16" s="5" t="s">
        <v>455</v>
      </c>
      <c r="G16" s="5"/>
      <c r="H16" s="5"/>
      <c r="I16" s="5"/>
      <c r="J16" s="5"/>
      <c r="K16" s="5"/>
    </row>
    <row r="17" ht="58.4" customHeight="1" spans="2:11" x14ac:dyDescent="0.25">
      <c r="B17" s="4" t="s">
        <v>53</v>
      </c>
      <c r="C17" s="7" t="s">
        <v>25</v>
      </c>
      <c r="D17" s="5" t="s">
        <v>54</v>
      </c>
      <c r="E17" s="6">
        <v>3</v>
      </c>
      <c r="F17" s="5" t="s">
        <v>456</v>
      </c>
      <c r="G17" s="5"/>
      <c r="H17" s="5"/>
      <c r="I17" s="5"/>
      <c r="J17" s="5"/>
      <c r="K17" s="5"/>
    </row>
    <row r="18" ht="58.4" customHeight="1" spans="2:11" x14ac:dyDescent="0.25">
      <c r="B18" s="4" t="s">
        <v>60</v>
      </c>
      <c r="C18" s="7" t="s">
        <v>25</v>
      </c>
      <c r="D18" s="5" t="s">
        <v>61</v>
      </c>
      <c r="E18" s="6">
        <v>2</v>
      </c>
      <c r="F18" s="5" t="s">
        <v>457</v>
      </c>
      <c r="G18" s="5"/>
      <c r="H18" s="5"/>
      <c r="I18" s="5"/>
      <c r="J18" s="5"/>
      <c r="K18" s="5"/>
    </row>
    <row r="19" ht="45.8" customHeight="1" spans="2:11" x14ac:dyDescent="0.25">
      <c r="B19" s="4" t="s">
        <v>73</v>
      </c>
      <c r="C19" s="7" t="s">
        <v>25</v>
      </c>
      <c r="D19" s="5" t="s">
        <v>74</v>
      </c>
      <c r="E19" s="6">
        <v>2</v>
      </c>
      <c r="F19" s="5" t="s">
        <v>458</v>
      </c>
      <c r="G19" s="5"/>
      <c r="H19" s="5"/>
      <c r="I19" s="5"/>
      <c r="J19" s="5"/>
      <c r="K19" s="5"/>
    </row>
    <row r="20" ht="58.4" customHeight="1" spans="2:11" x14ac:dyDescent="0.25">
      <c r="B20" s="4" t="s">
        <v>77</v>
      </c>
      <c r="C20" s="7" t="s">
        <v>25</v>
      </c>
      <c r="D20" s="5" t="s">
        <v>78</v>
      </c>
      <c r="E20" s="6">
        <v>5</v>
      </c>
      <c r="F20" s="5" t="s">
        <v>459</v>
      </c>
      <c r="G20" s="5"/>
      <c r="H20" s="5"/>
      <c r="I20" s="5"/>
      <c r="J20" s="5"/>
      <c r="K20" s="5"/>
    </row>
    <row r="21" ht="58.4" customHeight="1" spans="2:11" x14ac:dyDescent="0.25">
      <c r="B21" s="4" t="s">
        <v>84</v>
      </c>
      <c r="C21" s="7" t="s">
        <v>25</v>
      </c>
      <c r="D21" s="5" t="s">
        <v>85</v>
      </c>
      <c r="E21" s="6">
        <v>3</v>
      </c>
      <c r="F21" s="5" t="s">
        <v>460</v>
      </c>
      <c r="G21" s="5"/>
      <c r="H21" s="5"/>
      <c r="I21" s="5"/>
      <c r="J21" s="5"/>
      <c r="K21" s="5"/>
    </row>
    <row r="22" ht="58.4" customHeight="1" spans="2:11" x14ac:dyDescent="0.25">
      <c r="B22" s="4" t="s">
        <v>168</v>
      </c>
      <c r="C22" s="11" t="s">
        <v>173</v>
      </c>
      <c r="D22" s="5" t="s">
        <v>169</v>
      </c>
      <c r="E22" s="6">
        <v>5</v>
      </c>
      <c r="F22" s="5" t="s">
        <v>461</v>
      </c>
      <c r="G22" s="5"/>
      <c r="H22" s="5"/>
      <c r="I22" s="5"/>
      <c r="J22" s="5"/>
      <c r="K22" s="5"/>
    </row>
    <row r="24" spans="2:11" x14ac:dyDescent="0.25">
      <c r="B24" s="28" t="s">
        <v>462</v>
      </c>
      <c r="C24"/>
      <c r="D24"/>
      <c r="E24"/>
      <c r="F24"/>
      <c r="G24"/>
      <c r="H24"/>
      <c r="I24"/>
      <c r="J24"/>
      <c r="K24"/>
    </row>
    <row r="25" ht="30" customHeight="1" spans="2:11" x14ac:dyDescent="0.25">
      <c r="B25" s="3" t="s">
        <v>463</v>
      </c>
      <c r="C25" s="3" t="s">
        <v>3</v>
      </c>
      <c r="D25" s="3" t="s">
        <v>464</v>
      </c>
      <c r="E25" s="3" t="s">
        <v>465</v>
      </c>
      <c r="F25" s="3" t="s">
        <v>466</v>
      </c>
      <c r="G25" s="3" t="s">
        <v>467</v>
      </c>
      <c r="H25" s="3" t="s">
        <v>468</v>
      </c>
      <c r="I25" s="3" t="s">
        <v>469</v>
      </c>
      <c r="J25" s="3" t="s">
        <v>15</v>
      </c>
      <c r="K25" s="3" t="s">
        <v>17</v>
      </c>
    </row>
    <row r="26" ht="45.8" customHeight="1" spans="2:11" x14ac:dyDescent="0.25">
      <c r="B26" s="4" t="s">
        <v>470</v>
      </c>
      <c r="C26" s="6" t="s">
        <v>415</v>
      </c>
      <c r="D26" s="5" t="s">
        <v>471</v>
      </c>
      <c r="E26" s="5" t="s">
        <v>472</v>
      </c>
      <c r="F26" s="5" t="s">
        <v>473</v>
      </c>
      <c r="G26" s="29">
        <v>4</v>
      </c>
      <c r="H26" s="5" t="s">
        <v>415</v>
      </c>
      <c r="I26" s="5" t="s">
        <v>474</v>
      </c>
      <c r="J26" s="6" t="s">
        <v>475</v>
      </c>
      <c r="K26" s="5" t="s">
        <v>476</v>
      </c>
    </row>
    <row r="27" ht="33.2" customHeight="1" spans="2:11" x14ac:dyDescent="0.25">
      <c r="B27" s="4" t="s">
        <v>477</v>
      </c>
      <c r="C27" s="6" t="s">
        <v>415</v>
      </c>
      <c r="D27" s="5" t="s">
        <v>478</v>
      </c>
      <c r="E27" s="5" t="s">
        <v>479</v>
      </c>
      <c r="F27" s="5" t="s">
        <v>480</v>
      </c>
      <c r="G27" s="29">
        <v>6</v>
      </c>
      <c r="H27" s="5" t="s">
        <v>470</v>
      </c>
      <c r="I27" s="5" t="s">
        <v>481</v>
      </c>
      <c r="J27" s="6" t="s">
        <v>475</v>
      </c>
      <c r="K27" s="5" t="s">
        <v>482</v>
      </c>
    </row>
    <row r="28" ht="45.8" customHeight="1" spans="2:11" x14ac:dyDescent="0.25">
      <c r="B28" s="4" t="s">
        <v>483</v>
      </c>
      <c r="C28" s="6" t="s">
        <v>415</v>
      </c>
      <c r="D28" s="5" t="s">
        <v>484</v>
      </c>
      <c r="E28" s="5" t="s">
        <v>480</v>
      </c>
      <c r="F28" s="5" t="s">
        <v>485</v>
      </c>
      <c r="G28" s="29">
        <v>4</v>
      </c>
      <c r="H28" s="5" t="s">
        <v>477</v>
      </c>
      <c r="I28" s="5" t="s">
        <v>486</v>
      </c>
      <c r="J28" s="6" t="s">
        <v>475</v>
      </c>
      <c r="K28" s="5" t="s">
        <v>482</v>
      </c>
    </row>
    <row r="29" ht="45.8" customHeight="1" spans="2:11" x14ac:dyDescent="0.25">
      <c r="B29" s="4" t="s">
        <v>487</v>
      </c>
      <c r="C29" s="6" t="s">
        <v>415</v>
      </c>
      <c r="D29" s="5" t="s">
        <v>488</v>
      </c>
      <c r="E29" s="5" t="s">
        <v>489</v>
      </c>
      <c r="F29" s="5" t="s">
        <v>479</v>
      </c>
      <c r="G29" s="29">
        <v>6</v>
      </c>
      <c r="H29" s="5" t="s">
        <v>477</v>
      </c>
      <c r="I29" s="5" t="s">
        <v>490</v>
      </c>
      <c r="J29" s="6" t="s">
        <v>475</v>
      </c>
      <c r="K29" s="5" t="s">
        <v>482</v>
      </c>
    </row>
    <row r="30" ht="33.2" customHeight="1" spans="2:11" x14ac:dyDescent="0.25">
      <c r="B30" s="4" t="s">
        <v>491</v>
      </c>
      <c r="C30" s="6" t="s">
        <v>415</v>
      </c>
      <c r="D30" s="5" t="s">
        <v>492</v>
      </c>
      <c r="E30" s="5" t="s">
        <v>473</v>
      </c>
      <c r="F30" s="5" t="s">
        <v>472</v>
      </c>
      <c r="G30" s="29">
        <v>3</v>
      </c>
      <c r="H30" s="5" t="s">
        <v>415</v>
      </c>
      <c r="I30" s="5" t="s">
        <v>493</v>
      </c>
      <c r="J30" s="6" t="s">
        <v>475</v>
      </c>
      <c r="K30" s="5" t="s">
        <v>494</v>
      </c>
    </row>
    <row r="31" ht="33.2" customHeight="1" spans="2:11" x14ac:dyDescent="0.25">
      <c r="B31" s="4" t="s">
        <v>495</v>
      </c>
      <c r="C31" s="6" t="s">
        <v>18</v>
      </c>
      <c r="D31" s="5" t="s">
        <v>496</v>
      </c>
      <c r="E31" s="5" t="s">
        <v>480</v>
      </c>
      <c r="F31" s="5" t="s">
        <v>485</v>
      </c>
      <c r="G31" s="29">
        <v>3</v>
      </c>
      <c r="H31" s="5" t="s">
        <v>483</v>
      </c>
      <c r="I31" s="5" t="s">
        <v>497</v>
      </c>
      <c r="J31" s="6" t="s">
        <v>475</v>
      </c>
      <c r="K31" s="5" t="s">
        <v>415</v>
      </c>
    </row>
    <row r="32" ht="33.2" customHeight="1" spans="2:11" x14ac:dyDescent="0.25">
      <c r="B32" s="4" t="s">
        <v>498</v>
      </c>
      <c r="C32" s="6" t="s">
        <v>18</v>
      </c>
      <c r="D32" s="5" t="s">
        <v>499</v>
      </c>
      <c r="E32" s="5" t="s">
        <v>479</v>
      </c>
      <c r="F32" s="5" t="s">
        <v>480</v>
      </c>
      <c r="G32" s="29">
        <v>4</v>
      </c>
      <c r="H32" s="5" t="s">
        <v>477</v>
      </c>
      <c r="I32" s="5" t="s">
        <v>500</v>
      </c>
      <c r="J32" s="6" t="s">
        <v>475</v>
      </c>
      <c r="K32" s="5" t="s">
        <v>501</v>
      </c>
    </row>
    <row r="33" ht="33.2" customHeight="1" spans="2:11" x14ac:dyDescent="0.25">
      <c r="B33" s="4" t="s">
        <v>502</v>
      </c>
      <c r="C33" s="6" t="s">
        <v>18</v>
      </c>
      <c r="D33" s="5" t="s">
        <v>503</v>
      </c>
      <c r="E33" s="5" t="s">
        <v>480</v>
      </c>
      <c r="F33" s="5" t="s">
        <v>485</v>
      </c>
      <c r="G33" s="29">
        <v>2</v>
      </c>
      <c r="H33" s="5" t="s">
        <v>504</v>
      </c>
      <c r="I33" s="5" t="s">
        <v>505</v>
      </c>
      <c r="J33" s="6" t="s">
        <v>475</v>
      </c>
      <c r="K33" s="5" t="s">
        <v>506</v>
      </c>
    </row>
    <row r="34" ht="33.2" customHeight="1" spans="2:11" x14ac:dyDescent="0.25">
      <c r="B34" s="4" t="s">
        <v>507</v>
      </c>
      <c r="C34" s="6" t="s">
        <v>18</v>
      </c>
      <c r="D34" s="5" t="s">
        <v>508</v>
      </c>
      <c r="E34" s="5" t="s">
        <v>489</v>
      </c>
      <c r="F34" s="5" t="s">
        <v>479</v>
      </c>
      <c r="G34" s="29">
        <v>4</v>
      </c>
      <c r="H34" s="5" t="s">
        <v>487</v>
      </c>
      <c r="I34" s="5" t="s">
        <v>509</v>
      </c>
      <c r="J34" s="6" t="s">
        <v>475</v>
      </c>
      <c r="K34" s="5" t="s">
        <v>415</v>
      </c>
    </row>
    <row r="35" ht="45.8" customHeight="1" spans="2:11" x14ac:dyDescent="0.25">
      <c r="B35" s="4" t="s">
        <v>510</v>
      </c>
      <c r="C35" s="6" t="s">
        <v>18</v>
      </c>
      <c r="D35" s="5" t="s">
        <v>511</v>
      </c>
      <c r="E35" s="5" t="s">
        <v>479</v>
      </c>
      <c r="F35" s="5" t="s">
        <v>480</v>
      </c>
      <c r="G35" s="29">
        <v>4</v>
      </c>
      <c r="H35" s="5" t="s">
        <v>512</v>
      </c>
      <c r="I35" s="5" t="s">
        <v>513</v>
      </c>
      <c r="J35" s="6" t="s">
        <v>475</v>
      </c>
      <c r="K35" s="5" t="s">
        <v>415</v>
      </c>
    </row>
    <row r="36" ht="33.2" customHeight="1" spans="2:11" x14ac:dyDescent="0.25">
      <c r="B36" s="4" t="s">
        <v>514</v>
      </c>
      <c r="C36" s="6" t="s">
        <v>18</v>
      </c>
      <c r="D36" s="5" t="s">
        <v>515</v>
      </c>
      <c r="E36" s="5" t="s">
        <v>472</v>
      </c>
      <c r="F36" s="5" t="s">
        <v>489</v>
      </c>
      <c r="G36" s="29">
        <v>3</v>
      </c>
      <c r="H36" s="5" t="s">
        <v>516</v>
      </c>
      <c r="I36" s="5" t="s">
        <v>517</v>
      </c>
      <c r="J36" s="6" t="s">
        <v>475</v>
      </c>
      <c r="K36" s="5" t="s">
        <v>415</v>
      </c>
    </row>
    <row r="37" ht="33.2" customHeight="1" spans="2:11" x14ac:dyDescent="0.25">
      <c r="B37" s="4" t="s">
        <v>518</v>
      </c>
      <c r="C37" s="6" t="s">
        <v>386</v>
      </c>
      <c r="D37" s="5" t="s">
        <v>519</v>
      </c>
      <c r="E37" s="5" t="s">
        <v>480</v>
      </c>
      <c r="F37" s="5" t="s">
        <v>479</v>
      </c>
      <c r="G37" s="29">
        <v>6</v>
      </c>
      <c r="H37" s="5" t="s">
        <v>510</v>
      </c>
      <c r="I37" s="5" t="s">
        <v>520</v>
      </c>
      <c r="J37" s="6" t="s">
        <v>475</v>
      </c>
      <c r="K37" s="5" t="s">
        <v>521</v>
      </c>
    </row>
    <row r="38" ht="33.2" customHeight="1" spans="2:11" x14ac:dyDescent="0.25">
      <c r="B38" s="4" t="s">
        <v>522</v>
      </c>
      <c r="C38" s="6" t="s">
        <v>386</v>
      </c>
      <c r="D38" s="5" t="s">
        <v>523</v>
      </c>
      <c r="E38" s="5" t="s">
        <v>472</v>
      </c>
      <c r="F38" s="5" t="s">
        <v>485</v>
      </c>
      <c r="G38" s="29">
        <v>3</v>
      </c>
      <c r="H38" s="5" t="s">
        <v>518</v>
      </c>
      <c r="I38" s="5" t="s">
        <v>524</v>
      </c>
      <c r="J38" s="6" t="s">
        <v>475</v>
      </c>
      <c r="K38" s="5" t="s">
        <v>415</v>
      </c>
    </row>
    <row r="39" ht="33.2" customHeight="1" spans="2:11" x14ac:dyDescent="0.25">
      <c r="B39" s="4" t="s">
        <v>525</v>
      </c>
      <c r="C39" s="6" t="s">
        <v>386</v>
      </c>
      <c r="D39" s="5" t="s">
        <v>526</v>
      </c>
      <c r="E39" s="5" t="s">
        <v>485</v>
      </c>
      <c r="F39" s="5" t="s">
        <v>472</v>
      </c>
      <c r="G39" s="29">
        <v>3</v>
      </c>
      <c r="H39" s="5" t="s">
        <v>518</v>
      </c>
      <c r="I39" s="5" t="s">
        <v>527</v>
      </c>
      <c r="J39" s="6" t="s">
        <v>475</v>
      </c>
      <c r="K39" s="5" t="s">
        <v>415</v>
      </c>
    </row>
    <row r="40" ht="33.2" customHeight="1" spans="2:11" x14ac:dyDescent="0.25">
      <c r="B40" s="4" t="s">
        <v>528</v>
      </c>
      <c r="C40" s="6" t="s">
        <v>37</v>
      </c>
      <c r="D40" s="5" t="s">
        <v>529</v>
      </c>
      <c r="E40" s="5" t="s">
        <v>489</v>
      </c>
      <c r="F40" s="5" t="s">
        <v>485</v>
      </c>
      <c r="G40" s="29">
        <v>3</v>
      </c>
      <c r="H40" s="5" t="s">
        <v>510</v>
      </c>
      <c r="I40" s="5" t="s">
        <v>530</v>
      </c>
      <c r="J40" s="6" t="s">
        <v>475</v>
      </c>
      <c r="K40" s="5" t="s">
        <v>415</v>
      </c>
    </row>
    <row r="41" ht="33.2" customHeight="1" spans="2:11" x14ac:dyDescent="0.25">
      <c r="B41" s="4" t="s">
        <v>531</v>
      </c>
      <c r="C41" s="6" t="s">
        <v>37</v>
      </c>
      <c r="D41" s="5" t="s">
        <v>532</v>
      </c>
      <c r="E41" s="5" t="s">
        <v>485</v>
      </c>
      <c r="F41" s="5" t="s">
        <v>479</v>
      </c>
      <c r="G41" s="29">
        <v>4</v>
      </c>
      <c r="H41" s="5" t="s">
        <v>533</v>
      </c>
      <c r="I41" s="5" t="s">
        <v>534</v>
      </c>
      <c r="J41" s="6" t="s">
        <v>475</v>
      </c>
      <c r="K41" s="5" t="s">
        <v>535</v>
      </c>
    </row>
    <row r="42" ht="33.2" customHeight="1" spans="2:11" x14ac:dyDescent="0.25">
      <c r="B42" s="4" t="s">
        <v>536</v>
      </c>
      <c r="C42" s="6" t="s">
        <v>37</v>
      </c>
      <c r="D42" s="5" t="s">
        <v>537</v>
      </c>
      <c r="E42" s="5" t="s">
        <v>472</v>
      </c>
      <c r="F42" s="5" t="s">
        <v>485</v>
      </c>
      <c r="G42" s="29">
        <v>2</v>
      </c>
      <c r="H42" s="5" t="s">
        <v>531</v>
      </c>
      <c r="I42" s="5" t="s">
        <v>538</v>
      </c>
      <c r="J42" s="6" t="s">
        <v>475</v>
      </c>
      <c r="K42" s="5" t="s">
        <v>415</v>
      </c>
    </row>
    <row r="43" ht="33.2" customHeight="1" spans="2:11" x14ac:dyDescent="0.25">
      <c r="B43" s="4" t="s">
        <v>539</v>
      </c>
      <c r="C43" s="6" t="s">
        <v>44</v>
      </c>
      <c r="D43" s="5" t="s">
        <v>540</v>
      </c>
      <c r="E43" s="5" t="s">
        <v>485</v>
      </c>
      <c r="F43" s="5" t="s">
        <v>480</v>
      </c>
      <c r="G43" s="29">
        <v>3</v>
      </c>
      <c r="H43" s="5" t="s">
        <v>483</v>
      </c>
      <c r="I43" s="5" t="s">
        <v>541</v>
      </c>
      <c r="J43" s="6" t="s">
        <v>475</v>
      </c>
      <c r="K43" s="5" t="s">
        <v>415</v>
      </c>
    </row>
    <row r="44" ht="22" customHeight="1" spans="2:11" x14ac:dyDescent="0.25">
      <c r="B44" s="4" t="s">
        <v>542</v>
      </c>
      <c r="C44" s="6" t="s">
        <v>44</v>
      </c>
      <c r="D44" s="5" t="s">
        <v>543</v>
      </c>
      <c r="E44" s="5" t="s">
        <v>489</v>
      </c>
      <c r="F44" s="5" t="s">
        <v>485</v>
      </c>
      <c r="G44" s="29">
        <v>4</v>
      </c>
      <c r="H44" s="5" t="s">
        <v>544</v>
      </c>
      <c r="I44" s="5" t="s">
        <v>545</v>
      </c>
      <c r="J44" s="6" t="s">
        <v>475</v>
      </c>
      <c r="K44" s="5" t="s">
        <v>415</v>
      </c>
    </row>
    <row r="45" ht="33.2" customHeight="1" spans="2:11" x14ac:dyDescent="0.25">
      <c r="B45" s="4" t="s">
        <v>546</v>
      </c>
      <c r="C45" s="6" t="s">
        <v>44</v>
      </c>
      <c r="D45" s="5" t="s">
        <v>547</v>
      </c>
      <c r="E45" s="5" t="s">
        <v>485</v>
      </c>
      <c r="F45" s="5" t="s">
        <v>479</v>
      </c>
      <c r="G45" s="29">
        <v>4</v>
      </c>
      <c r="H45" s="5" t="s">
        <v>548</v>
      </c>
      <c r="I45" s="5" t="s">
        <v>549</v>
      </c>
      <c r="J45" s="6" t="s">
        <v>475</v>
      </c>
      <c r="K45" s="5" t="s">
        <v>415</v>
      </c>
    </row>
    <row r="46" ht="22" customHeight="1" spans="2:11" x14ac:dyDescent="0.25">
      <c r="B46" s="4" t="s">
        <v>550</v>
      </c>
      <c r="C46" s="6" t="s">
        <v>44</v>
      </c>
      <c r="D46" s="5" t="s">
        <v>551</v>
      </c>
      <c r="E46" s="5" t="s">
        <v>473</v>
      </c>
      <c r="F46" s="5" t="s">
        <v>485</v>
      </c>
      <c r="G46" s="29">
        <v>3</v>
      </c>
      <c r="H46" s="5" t="s">
        <v>546</v>
      </c>
      <c r="I46" s="5" t="s">
        <v>552</v>
      </c>
      <c r="J46" s="6" t="s">
        <v>475</v>
      </c>
      <c r="K46" s="5" t="s">
        <v>415</v>
      </c>
    </row>
    <row r="47" ht="45.8" customHeight="1" spans="2:11" x14ac:dyDescent="0.25">
      <c r="B47" s="4" t="s">
        <v>553</v>
      </c>
      <c r="C47" s="6" t="s">
        <v>64</v>
      </c>
      <c r="D47" s="5" t="s">
        <v>554</v>
      </c>
      <c r="E47" s="5" t="s">
        <v>480</v>
      </c>
      <c r="F47" s="5" t="s">
        <v>485</v>
      </c>
      <c r="G47" s="29">
        <v>3</v>
      </c>
      <c r="H47" s="5" t="s">
        <v>539</v>
      </c>
      <c r="I47" s="5" t="s">
        <v>555</v>
      </c>
      <c r="J47" s="6" t="s">
        <v>475</v>
      </c>
      <c r="K47" s="5" t="s">
        <v>415</v>
      </c>
    </row>
    <row r="48" ht="22" customHeight="1" spans="2:11" x14ac:dyDescent="0.25">
      <c r="B48" s="4" t="s">
        <v>556</v>
      </c>
      <c r="C48" s="6" t="s">
        <v>64</v>
      </c>
      <c r="D48" s="5" t="s">
        <v>557</v>
      </c>
      <c r="E48" s="5" t="s">
        <v>489</v>
      </c>
      <c r="F48" s="5" t="s">
        <v>480</v>
      </c>
      <c r="G48" s="29">
        <v>4</v>
      </c>
      <c r="H48" s="5" t="s">
        <v>558</v>
      </c>
      <c r="I48" s="5" t="s">
        <v>559</v>
      </c>
      <c r="J48" s="6" t="s">
        <v>475</v>
      </c>
      <c r="K48" s="5" t="s">
        <v>415</v>
      </c>
    </row>
    <row r="49" ht="45.8" customHeight="1" spans="2:11" x14ac:dyDescent="0.25">
      <c r="B49" s="4" t="s">
        <v>560</v>
      </c>
      <c r="C49" s="6" t="s">
        <v>64</v>
      </c>
      <c r="D49" s="5" t="s">
        <v>561</v>
      </c>
      <c r="E49" s="5" t="s">
        <v>480</v>
      </c>
      <c r="F49" s="5" t="s">
        <v>489</v>
      </c>
      <c r="G49" s="29">
        <v>4</v>
      </c>
      <c r="H49" s="5" t="s">
        <v>562</v>
      </c>
      <c r="I49" s="5" t="s">
        <v>563</v>
      </c>
      <c r="J49" s="6" t="s">
        <v>475</v>
      </c>
      <c r="K49" s="5" t="s">
        <v>564</v>
      </c>
    </row>
    <row r="50" ht="22" customHeight="1" spans="2:11" x14ac:dyDescent="0.25">
      <c r="B50" s="4" t="s">
        <v>565</v>
      </c>
      <c r="C50" s="6" t="s">
        <v>64</v>
      </c>
      <c r="D50" s="5" t="s">
        <v>566</v>
      </c>
      <c r="E50" s="5" t="s">
        <v>473</v>
      </c>
      <c r="F50" s="5" t="s">
        <v>480</v>
      </c>
      <c r="G50" s="29">
        <v>3</v>
      </c>
      <c r="H50" s="5" t="s">
        <v>560</v>
      </c>
      <c r="I50" s="5" t="s">
        <v>567</v>
      </c>
      <c r="J50" s="6" t="s">
        <v>475</v>
      </c>
      <c r="K50" s="5" t="s">
        <v>415</v>
      </c>
    </row>
    <row r="51" ht="33.2" customHeight="1" spans="2:11" x14ac:dyDescent="0.25">
      <c r="B51" s="4" t="s">
        <v>568</v>
      </c>
      <c r="C51" s="6" t="s">
        <v>415</v>
      </c>
      <c r="D51" s="5" t="s">
        <v>569</v>
      </c>
      <c r="E51" s="5" t="s">
        <v>485</v>
      </c>
      <c r="F51" s="5" t="s">
        <v>480</v>
      </c>
      <c r="G51" s="29">
        <v>4</v>
      </c>
      <c r="H51" s="5" t="s">
        <v>570</v>
      </c>
      <c r="I51" s="5" t="s">
        <v>571</v>
      </c>
      <c r="J51" s="6" t="s">
        <v>475</v>
      </c>
      <c r="K51" s="5" t="s">
        <v>572</v>
      </c>
    </row>
    <row r="52" ht="33.2" customHeight="1" spans="2:11" x14ac:dyDescent="0.25">
      <c r="B52" s="4" t="s">
        <v>573</v>
      </c>
      <c r="C52" s="6" t="s">
        <v>53</v>
      </c>
      <c r="D52" s="5" t="s">
        <v>574</v>
      </c>
      <c r="E52" s="5" t="s">
        <v>489</v>
      </c>
      <c r="F52" s="5" t="s">
        <v>485</v>
      </c>
      <c r="G52" s="29">
        <v>4</v>
      </c>
      <c r="H52" s="5" t="s">
        <v>570</v>
      </c>
      <c r="I52" s="5" t="s">
        <v>575</v>
      </c>
      <c r="J52" s="6" t="s">
        <v>475</v>
      </c>
      <c r="K52" s="5" t="s">
        <v>415</v>
      </c>
    </row>
    <row r="53" ht="33.2" customHeight="1" spans="2:11" x14ac:dyDescent="0.25">
      <c r="B53" s="4" t="s">
        <v>576</v>
      </c>
      <c r="C53" s="6" t="s">
        <v>53</v>
      </c>
      <c r="D53" s="5" t="s">
        <v>577</v>
      </c>
      <c r="E53" s="5" t="s">
        <v>485</v>
      </c>
      <c r="F53" s="5" t="s">
        <v>479</v>
      </c>
      <c r="G53" s="29">
        <v>3</v>
      </c>
      <c r="H53" s="5" t="s">
        <v>578</v>
      </c>
      <c r="I53" s="5" t="s">
        <v>579</v>
      </c>
      <c r="J53" s="6" t="s">
        <v>475</v>
      </c>
      <c r="K53" s="5" t="s">
        <v>415</v>
      </c>
    </row>
    <row r="54" ht="22" customHeight="1" spans="2:11" x14ac:dyDescent="0.25">
      <c r="B54" s="4" t="s">
        <v>580</v>
      </c>
      <c r="C54" s="6" t="s">
        <v>53</v>
      </c>
      <c r="D54" s="5" t="s">
        <v>581</v>
      </c>
      <c r="E54" s="5" t="s">
        <v>472</v>
      </c>
      <c r="F54" s="5" t="s">
        <v>489</v>
      </c>
      <c r="G54" s="29">
        <v>2</v>
      </c>
      <c r="H54" s="5" t="s">
        <v>582</v>
      </c>
      <c r="I54" s="5" t="s">
        <v>583</v>
      </c>
      <c r="J54" s="6" t="s">
        <v>475</v>
      </c>
      <c r="K54" s="5" t="s">
        <v>415</v>
      </c>
    </row>
    <row r="55" ht="22" customHeight="1" spans="2:11" x14ac:dyDescent="0.25">
      <c r="B55" s="4" t="s">
        <v>584</v>
      </c>
      <c r="C55" s="6" t="s">
        <v>60</v>
      </c>
      <c r="D55" s="5" t="s">
        <v>585</v>
      </c>
      <c r="E55" s="5" t="s">
        <v>479</v>
      </c>
      <c r="F55" s="5" t="s">
        <v>489</v>
      </c>
      <c r="G55" s="29">
        <v>3</v>
      </c>
      <c r="H55" s="5" t="s">
        <v>546</v>
      </c>
      <c r="I55" s="5" t="s">
        <v>586</v>
      </c>
      <c r="J55" s="6" t="s">
        <v>475</v>
      </c>
      <c r="K55" s="5" t="s">
        <v>415</v>
      </c>
    </row>
    <row r="56" ht="45.8" customHeight="1" spans="2:11" x14ac:dyDescent="0.25">
      <c r="B56" s="4" t="s">
        <v>587</v>
      </c>
      <c r="C56" s="6" t="s">
        <v>60</v>
      </c>
      <c r="D56" s="5" t="s">
        <v>588</v>
      </c>
      <c r="E56" s="5" t="s">
        <v>485</v>
      </c>
      <c r="F56" s="5" t="s">
        <v>479</v>
      </c>
      <c r="G56" s="29">
        <v>4</v>
      </c>
      <c r="H56" s="5" t="s">
        <v>584</v>
      </c>
      <c r="I56" s="5" t="s">
        <v>589</v>
      </c>
      <c r="J56" s="6" t="s">
        <v>475</v>
      </c>
      <c r="K56" s="5" t="s">
        <v>415</v>
      </c>
    </row>
    <row r="57" ht="22" customHeight="1" spans="2:11" x14ac:dyDescent="0.25">
      <c r="B57" s="4" t="s">
        <v>590</v>
      </c>
      <c r="C57" s="6" t="s">
        <v>60</v>
      </c>
      <c r="D57" s="5" t="s">
        <v>591</v>
      </c>
      <c r="E57" s="5" t="s">
        <v>473</v>
      </c>
      <c r="F57" s="5" t="s">
        <v>485</v>
      </c>
      <c r="G57" s="29">
        <v>2</v>
      </c>
      <c r="H57" s="5" t="s">
        <v>587</v>
      </c>
      <c r="I57" s="5" t="s">
        <v>592</v>
      </c>
      <c r="J57" s="6" t="s">
        <v>475</v>
      </c>
      <c r="K57" s="5" t="s">
        <v>415</v>
      </c>
    </row>
    <row r="58" ht="22" customHeight="1" spans="2:11" x14ac:dyDescent="0.25">
      <c r="B58" s="4" t="s">
        <v>593</v>
      </c>
      <c r="C58" s="6" t="s">
        <v>73</v>
      </c>
      <c r="D58" s="5" t="s">
        <v>594</v>
      </c>
      <c r="E58" s="5" t="s">
        <v>489</v>
      </c>
      <c r="F58" s="5" t="s">
        <v>480</v>
      </c>
      <c r="G58" s="29">
        <v>3</v>
      </c>
      <c r="H58" s="5" t="s">
        <v>560</v>
      </c>
      <c r="I58" s="5" t="s">
        <v>595</v>
      </c>
      <c r="J58" s="6" t="s">
        <v>475</v>
      </c>
      <c r="K58" s="5" t="s">
        <v>415</v>
      </c>
    </row>
    <row r="59" ht="33.2" customHeight="1" spans="2:11" x14ac:dyDescent="0.25">
      <c r="B59" s="4" t="s">
        <v>596</v>
      </c>
      <c r="C59" s="6" t="s">
        <v>73</v>
      </c>
      <c r="D59" s="5" t="s">
        <v>597</v>
      </c>
      <c r="E59" s="5" t="s">
        <v>479</v>
      </c>
      <c r="F59" s="5" t="s">
        <v>489</v>
      </c>
      <c r="G59" s="29">
        <v>3</v>
      </c>
      <c r="H59" s="5" t="s">
        <v>593</v>
      </c>
      <c r="I59" s="5" t="s">
        <v>598</v>
      </c>
      <c r="J59" s="6" t="s">
        <v>475</v>
      </c>
      <c r="K59" s="5" t="s">
        <v>415</v>
      </c>
    </row>
    <row r="60" ht="22" customHeight="1" spans="2:11" x14ac:dyDescent="0.25">
      <c r="B60" s="4" t="s">
        <v>599</v>
      </c>
      <c r="C60" s="6" t="s">
        <v>73</v>
      </c>
      <c r="D60" s="5" t="s">
        <v>600</v>
      </c>
      <c r="E60" s="5" t="s">
        <v>472</v>
      </c>
      <c r="F60" s="5" t="s">
        <v>479</v>
      </c>
      <c r="G60" s="29">
        <v>2</v>
      </c>
      <c r="H60" s="5" t="s">
        <v>596</v>
      </c>
      <c r="I60" s="5" t="s">
        <v>601</v>
      </c>
      <c r="J60" s="6" t="s">
        <v>475</v>
      </c>
      <c r="K60" s="5" t="s">
        <v>415</v>
      </c>
    </row>
    <row r="61" ht="45.8" customHeight="1" spans="2:11" x14ac:dyDescent="0.25">
      <c r="B61" s="4" t="s">
        <v>602</v>
      </c>
      <c r="C61" s="6" t="s">
        <v>77</v>
      </c>
      <c r="D61" s="5" t="s">
        <v>603</v>
      </c>
      <c r="E61" s="5" t="s">
        <v>473</v>
      </c>
      <c r="F61" s="5" t="s">
        <v>472</v>
      </c>
      <c r="G61" s="29">
        <v>3</v>
      </c>
      <c r="H61" s="5" t="s">
        <v>415</v>
      </c>
      <c r="I61" s="5" t="s">
        <v>604</v>
      </c>
      <c r="J61" s="6" t="s">
        <v>475</v>
      </c>
      <c r="K61" s="5" t="s">
        <v>415</v>
      </c>
    </row>
    <row r="62" ht="33.2" customHeight="1" spans="2:11" x14ac:dyDescent="0.25">
      <c r="B62" s="4" t="s">
        <v>605</v>
      </c>
      <c r="C62" s="6" t="s">
        <v>77</v>
      </c>
      <c r="D62" s="5" t="s">
        <v>606</v>
      </c>
      <c r="E62" s="5" t="s">
        <v>485</v>
      </c>
      <c r="F62" s="5" t="s">
        <v>479</v>
      </c>
      <c r="G62" s="29">
        <v>4</v>
      </c>
      <c r="H62" s="5" t="s">
        <v>607</v>
      </c>
      <c r="I62" s="5" t="s">
        <v>608</v>
      </c>
      <c r="J62" s="6" t="s">
        <v>475</v>
      </c>
      <c r="K62" s="5" t="s">
        <v>415</v>
      </c>
    </row>
    <row r="63" ht="22" customHeight="1" spans="2:11" x14ac:dyDescent="0.25">
      <c r="B63" s="4" t="s">
        <v>609</v>
      </c>
      <c r="C63" s="6" t="s">
        <v>77</v>
      </c>
      <c r="D63" s="5" t="s">
        <v>610</v>
      </c>
      <c r="E63" s="5" t="s">
        <v>489</v>
      </c>
      <c r="F63" s="5" t="s">
        <v>485</v>
      </c>
      <c r="G63" s="29">
        <v>4</v>
      </c>
      <c r="H63" s="5" t="s">
        <v>611</v>
      </c>
      <c r="I63" s="5" t="s">
        <v>612</v>
      </c>
      <c r="J63" s="6" t="s">
        <v>475</v>
      </c>
      <c r="K63" s="5" t="s">
        <v>415</v>
      </c>
    </row>
    <row r="64" ht="33.2" customHeight="1" spans="2:11" x14ac:dyDescent="0.25">
      <c r="B64" s="4" t="s">
        <v>613</v>
      </c>
      <c r="C64" s="6" t="s">
        <v>77</v>
      </c>
      <c r="D64" s="5" t="s">
        <v>614</v>
      </c>
      <c r="E64" s="5" t="s">
        <v>479</v>
      </c>
      <c r="F64" s="5" t="s">
        <v>480</v>
      </c>
      <c r="G64" s="29">
        <v>8</v>
      </c>
      <c r="H64" s="5" t="s">
        <v>615</v>
      </c>
      <c r="I64" s="5" t="s">
        <v>616</v>
      </c>
      <c r="J64" s="6" t="s">
        <v>475</v>
      </c>
      <c r="K64" s="5" t="s">
        <v>617</v>
      </c>
    </row>
    <row r="65" ht="33.2" customHeight="1" spans="2:11" x14ac:dyDescent="0.25">
      <c r="B65" s="4" t="s">
        <v>618</v>
      </c>
      <c r="C65" s="6" t="s">
        <v>77</v>
      </c>
      <c r="D65" s="5" t="s">
        <v>619</v>
      </c>
      <c r="E65" s="5" t="s">
        <v>480</v>
      </c>
      <c r="F65" s="5" t="s">
        <v>473</v>
      </c>
      <c r="G65" s="29">
        <v>4</v>
      </c>
      <c r="H65" s="5" t="s">
        <v>613</v>
      </c>
      <c r="I65" s="5" t="s">
        <v>620</v>
      </c>
      <c r="J65" s="6" t="s">
        <v>475</v>
      </c>
      <c r="K65" s="5" t="s">
        <v>415</v>
      </c>
    </row>
    <row r="66" ht="33.2" customHeight="1" spans="2:11" x14ac:dyDescent="0.25">
      <c r="B66" s="4" t="s">
        <v>621</v>
      </c>
      <c r="C66" s="6" t="s">
        <v>84</v>
      </c>
      <c r="D66" s="5" t="s">
        <v>622</v>
      </c>
      <c r="E66" s="5" t="s">
        <v>480</v>
      </c>
      <c r="F66" s="5" t="s">
        <v>479</v>
      </c>
      <c r="G66" s="29">
        <v>3</v>
      </c>
      <c r="H66" s="5" t="s">
        <v>553</v>
      </c>
      <c r="I66" s="5" t="s">
        <v>623</v>
      </c>
      <c r="J66" s="6" t="s">
        <v>475</v>
      </c>
      <c r="K66" s="5" t="s">
        <v>415</v>
      </c>
    </row>
    <row r="67" ht="22" customHeight="1" spans="2:11" x14ac:dyDescent="0.25">
      <c r="B67" s="4" t="s">
        <v>624</v>
      </c>
      <c r="C67" s="6" t="s">
        <v>84</v>
      </c>
      <c r="D67" s="5" t="s">
        <v>625</v>
      </c>
      <c r="E67" s="5" t="s">
        <v>489</v>
      </c>
      <c r="F67" s="5" t="s">
        <v>480</v>
      </c>
      <c r="G67" s="29">
        <v>4</v>
      </c>
      <c r="H67" s="5" t="s">
        <v>626</v>
      </c>
      <c r="I67" s="5" t="s">
        <v>627</v>
      </c>
      <c r="J67" s="6" t="s">
        <v>475</v>
      </c>
      <c r="K67" s="5" t="s">
        <v>415</v>
      </c>
    </row>
    <row r="68" ht="33.2" customHeight="1" spans="2:11" x14ac:dyDescent="0.25">
      <c r="B68" s="4" t="s">
        <v>628</v>
      </c>
      <c r="C68" s="6" t="s">
        <v>84</v>
      </c>
      <c r="D68" s="5" t="s">
        <v>629</v>
      </c>
      <c r="E68" s="5" t="s">
        <v>479</v>
      </c>
      <c r="F68" s="5" t="s">
        <v>485</v>
      </c>
      <c r="G68" s="29">
        <v>6</v>
      </c>
      <c r="H68" s="5" t="s">
        <v>630</v>
      </c>
      <c r="I68" s="5" t="s">
        <v>631</v>
      </c>
      <c r="J68" s="6" t="s">
        <v>475</v>
      </c>
      <c r="K68" s="5" t="s">
        <v>415</v>
      </c>
    </row>
    <row r="69" ht="22" customHeight="1" spans="2:11" x14ac:dyDescent="0.25">
      <c r="B69" s="4" t="s">
        <v>632</v>
      </c>
      <c r="C69" s="6" t="s">
        <v>84</v>
      </c>
      <c r="D69" s="5" t="s">
        <v>633</v>
      </c>
      <c r="E69" s="5" t="s">
        <v>473</v>
      </c>
      <c r="F69" s="5" t="s">
        <v>480</v>
      </c>
      <c r="G69" s="29">
        <v>3</v>
      </c>
      <c r="H69" s="5" t="s">
        <v>628</v>
      </c>
      <c r="I69" s="5" t="s">
        <v>634</v>
      </c>
      <c r="J69" s="6" t="s">
        <v>475</v>
      </c>
      <c r="K69" s="5" t="s">
        <v>415</v>
      </c>
    </row>
    <row r="70" ht="33.2" customHeight="1" spans="2:11" x14ac:dyDescent="0.25">
      <c r="B70" s="4" t="s">
        <v>635</v>
      </c>
      <c r="C70" s="6" t="s">
        <v>168</v>
      </c>
      <c r="D70" s="5" t="s">
        <v>636</v>
      </c>
      <c r="E70" s="5" t="s">
        <v>473</v>
      </c>
      <c r="F70" s="5" t="s">
        <v>472</v>
      </c>
      <c r="G70" s="29">
        <v>3</v>
      </c>
      <c r="H70" s="5" t="s">
        <v>415</v>
      </c>
      <c r="I70" s="5" t="s">
        <v>637</v>
      </c>
      <c r="J70" s="6" t="s">
        <v>475</v>
      </c>
      <c r="K70" s="5" t="s">
        <v>415</v>
      </c>
    </row>
    <row r="71" ht="33.2" customHeight="1" spans="2:11" x14ac:dyDescent="0.25">
      <c r="B71" s="4" t="s">
        <v>638</v>
      </c>
      <c r="C71" s="6" t="s">
        <v>168</v>
      </c>
      <c r="D71" s="5" t="s">
        <v>639</v>
      </c>
      <c r="E71" s="5" t="s">
        <v>480</v>
      </c>
      <c r="F71" s="5" t="s">
        <v>485</v>
      </c>
      <c r="G71" s="29">
        <v>4</v>
      </c>
      <c r="H71" s="5" t="s">
        <v>640</v>
      </c>
      <c r="I71" s="5" t="s">
        <v>641</v>
      </c>
      <c r="J71" s="6" t="s">
        <v>475</v>
      </c>
      <c r="K71" s="5" t="s">
        <v>415</v>
      </c>
    </row>
    <row r="72" ht="33.2" customHeight="1" spans="2:11" x14ac:dyDescent="0.25">
      <c r="B72" s="4" t="s">
        <v>642</v>
      </c>
      <c r="C72" s="6" t="s">
        <v>168</v>
      </c>
      <c r="D72" s="5" t="s">
        <v>643</v>
      </c>
      <c r="E72" s="5" t="s">
        <v>479</v>
      </c>
      <c r="F72" s="5" t="s">
        <v>480</v>
      </c>
      <c r="G72" s="29">
        <v>6</v>
      </c>
      <c r="H72" s="5" t="s">
        <v>638</v>
      </c>
      <c r="I72" s="5" t="s">
        <v>644</v>
      </c>
      <c r="J72" s="6" t="s">
        <v>475</v>
      </c>
      <c r="K72" s="5" t="s">
        <v>415</v>
      </c>
    </row>
    <row r="73" ht="45.8" customHeight="1" spans="2:11" x14ac:dyDescent="0.25">
      <c r="B73" s="4" t="s">
        <v>645</v>
      </c>
      <c r="C73" s="6" t="s">
        <v>168</v>
      </c>
      <c r="D73" s="5" t="s">
        <v>646</v>
      </c>
      <c r="E73" s="5" t="s">
        <v>489</v>
      </c>
      <c r="F73" s="5" t="s">
        <v>479</v>
      </c>
      <c r="G73" s="29">
        <v>4</v>
      </c>
      <c r="H73" s="5" t="s">
        <v>647</v>
      </c>
      <c r="I73" s="5" t="s">
        <v>648</v>
      </c>
      <c r="J73" s="6" t="s">
        <v>475</v>
      </c>
      <c r="K73" s="5" t="s">
        <v>649</v>
      </c>
    </row>
    <row r="74" ht="33.2" customHeight="1" spans="2:11" x14ac:dyDescent="0.25">
      <c r="B74" s="4" t="s">
        <v>650</v>
      </c>
      <c r="C74" s="6" t="s">
        <v>168</v>
      </c>
      <c r="D74" s="5" t="s">
        <v>651</v>
      </c>
      <c r="E74" s="5" t="s">
        <v>472</v>
      </c>
      <c r="F74" s="5" t="s">
        <v>489</v>
      </c>
      <c r="G74" s="29">
        <v>4</v>
      </c>
      <c r="H74" s="5" t="s">
        <v>645</v>
      </c>
      <c r="I74" s="5" t="s">
        <v>652</v>
      </c>
      <c r="J74" s="6" t="s">
        <v>475</v>
      </c>
      <c r="K74" s="5" t="s">
        <v>415</v>
      </c>
    </row>
    <row r="75" ht="45.8" customHeight="1" spans="2:11" x14ac:dyDescent="0.25">
      <c r="B75" s="4" t="s">
        <v>653</v>
      </c>
      <c r="C75" s="6" t="s">
        <v>415</v>
      </c>
      <c r="D75" s="5" t="s">
        <v>654</v>
      </c>
      <c r="E75" s="5" t="s">
        <v>472</v>
      </c>
      <c r="F75" s="5" t="s">
        <v>473</v>
      </c>
      <c r="G75" s="29">
        <v>4</v>
      </c>
      <c r="H75" s="5" t="s">
        <v>655</v>
      </c>
      <c r="I75" s="5" t="s">
        <v>656</v>
      </c>
      <c r="J75" s="6" t="s">
        <v>475</v>
      </c>
      <c r="K75" s="5" t="s">
        <v>657</v>
      </c>
    </row>
    <row r="76" ht="33.2" customHeight="1" spans="2:11" x14ac:dyDescent="0.25">
      <c r="B76" s="4" t="s">
        <v>658</v>
      </c>
      <c r="C76" s="6" t="s">
        <v>415</v>
      </c>
      <c r="D76" s="5" t="s">
        <v>659</v>
      </c>
      <c r="E76" s="5" t="s">
        <v>479</v>
      </c>
      <c r="F76" s="5" t="s">
        <v>485</v>
      </c>
      <c r="G76" s="29">
        <v>6</v>
      </c>
      <c r="H76" s="5" t="s">
        <v>653</v>
      </c>
      <c r="I76" s="5" t="s">
        <v>660</v>
      </c>
      <c r="J76" s="6" t="s">
        <v>475</v>
      </c>
      <c r="K76" s="5" t="s">
        <v>661</v>
      </c>
    </row>
    <row r="77" ht="33.2" customHeight="1" spans="2:11" x14ac:dyDescent="0.25">
      <c r="B77" s="4" t="s">
        <v>662</v>
      </c>
      <c r="C77" s="6" t="s">
        <v>663</v>
      </c>
      <c r="D77" s="5" t="s">
        <v>664</v>
      </c>
      <c r="E77" s="5" t="s">
        <v>473</v>
      </c>
      <c r="F77" s="5" t="s">
        <v>472</v>
      </c>
      <c r="G77" s="29">
        <v>3</v>
      </c>
      <c r="H77" s="5" t="s">
        <v>665</v>
      </c>
      <c r="I77" s="5" t="s">
        <v>666</v>
      </c>
      <c r="J77" s="6" t="s">
        <v>475</v>
      </c>
      <c r="K77" s="5" t="s">
        <v>667</v>
      </c>
    </row>
    <row r="78" ht="45.8" customHeight="1" spans="2:11" x14ac:dyDescent="0.25">
      <c r="B78" s="4" t="s">
        <v>668</v>
      </c>
      <c r="C78" s="6" t="s">
        <v>669</v>
      </c>
      <c r="D78" s="5" t="s">
        <v>670</v>
      </c>
      <c r="E78" s="5" t="s">
        <v>473</v>
      </c>
      <c r="F78" s="5" t="s">
        <v>472</v>
      </c>
      <c r="G78" s="29">
        <v>3</v>
      </c>
      <c r="H78" s="5" t="s">
        <v>671</v>
      </c>
      <c r="I78" s="5" t="s">
        <v>666</v>
      </c>
      <c r="J78" s="6" t="s">
        <v>475</v>
      </c>
      <c r="K78" s="5" t="s">
        <v>667</v>
      </c>
    </row>
    <row r="79" ht="33.2" customHeight="1" spans="2:11" x14ac:dyDescent="0.25">
      <c r="B79" s="4" t="s">
        <v>672</v>
      </c>
      <c r="C79" s="6" t="s">
        <v>242</v>
      </c>
      <c r="D79" s="5" t="s">
        <v>673</v>
      </c>
      <c r="E79" s="5" t="s">
        <v>473</v>
      </c>
      <c r="F79" s="5" t="s">
        <v>472</v>
      </c>
      <c r="G79" s="29">
        <v>2</v>
      </c>
      <c r="H79" s="5" t="s">
        <v>674</v>
      </c>
      <c r="I79" s="5" t="s">
        <v>666</v>
      </c>
      <c r="J79" s="6" t="s">
        <v>475</v>
      </c>
      <c r="K79" s="5" t="s">
        <v>667</v>
      </c>
    </row>
    <row r="80" ht="33.2" customHeight="1" spans="2:11" x14ac:dyDescent="0.25">
      <c r="B80" s="4" t="s">
        <v>675</v>
      </c>
      <c r="C80" s="6" t="s">
        <v>415</v>
      </c>
      <c r="D80" s="5" t="s">
        <v>676</v>
      </c>
      <c r="E80" s="5" t="s">
        <v>472</v>
      </c>
      <c r="F80" s="5" t="s">
        <v>473</v>
      </c>
      <c r="G80" s="29">
        <v>2</v>
      </c>
      <c r="H80" s="5" t="s">
        <v>677</v>
      </c>
      <c r="I80" s="5" t="s">
        <v>678</v>
      </c>
      <c r="J80" s="6" t="s">
        <v>475</v>
      </c>
      <c r="K80" s="5" t="s">
        <v>482</v>
      </c>
    </row>
  </sheetData>
  <autoFilter ref="B25:K80"/>
  <mergeCells count="30">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F22:K22"/>
    <mergeCell ref="B24:K24"/>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0"/>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679</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679</v>
      </c>
      <c r="E3" s="27"/>
      <c r="F3" s="27"/>
      <c r="G3" s="27"/>
      <c r="H3" s="27"/>
      <c r="I3" s="27"/>
      <c r="J3" s="27"/>
      <c r="K3" s="27"/>
    </row>
    <row r="4" ht="49.8" customHeight="1" spans="2:11" x14ac:dyDescent="0.25">
      <c r="B4" s="22" t="s">
        <v>440</v>
      </c>
      <c r="C4" s="27"/>
      <c r="D4" s="5" t="s">
        <v>680</v>
      </c>
      <c r="E4" s="27"/>
      <c r="F4" s="27"/>
      <c r="G4" s="27"/>
      <c r="H4" s="27"/>
      <c r="I4" s="27"/>
      <c r="J4" s="27"/>
      <c r="K4" s="27"/>
    </row>
    <row r="5" ht="49.8" customHeight="1" spans="2:11" x14ac:dyDescent="0.25">
      <c r="B5" s="22" t="s">
        <v>442</v>
      </c>
      <c r="C5" s="27"/>
      <c r="D5" s="5" t="s">
        <v>681</v>
      </c>
      <c r="E5" s="27"/>
      <c r="F5" s="27"/>
      <c r="G5" s="27"/>
      <c r="H5" s="27"/>
      <c r="I5" s="27"/>
      <c r="J5" s="27"/>
      <c r="K5" s="27"/>
    </row>
    <row r="6" ht="18" customHeight="1" spans="2:11" x14ac:dyDescent="0.25">
      <c r="B6" s="22" t="s">
        <v>303</v>
      </c>
      <c r="C6" s="27"/>
      <c r="D6" s="25">
        <f>SUM(E12:E21)</f>
        <v>37</v>
      </c>
      <c r="E6" s="27"/>
      <c r="F6" s="27"/>
      <c r="G6" s="27"/>
      <c r="H6" s="27"/>
      <c r="I6" s="27"/>
      <c r="J6" s="27"/>
      <c r="K6" s="27"/>
    </row>
    <row r="7" ht="18" customHeight="1" spans="2:11" x14ac:dyDescent="0.25">
      <c r="B7" s="22" t="s">
        <v>444</v>
      </c>
      <c r="C7" s="27"/>
      <c r="D7" s="25">
        <f>SUM(G25:G70)</f>
        <v>174</v>
      </c>
      <c r="E7" s="27"/>
      <c r="F7" s="27"/>
      <c r="G7" s="27"/>
      <c r="H7" s="27"/>
      <c r="I7" s="27"/>
      <c r="J7" s="27"/>
      <c r="K7" s="27"/>
    </row>
    <row r="8" ht="18" customHeight="1" spans="2:11" x14ac:dyDescent="0.25">
      <c r="B8" s="22" t="s">
        <v>445</v>
      </c>
      <c r="C8" s="27"/>
      <c r="D8" s="5" t="s">
        <v>682</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71" customHeight="1" spans="2:11" x14ac:dyDescent="0.25">
      <c r="B12" s="4" t="s">
        <v>91</v>
      </c>
      <c r="C12" s="7" t="s">
        <v>25</v>
      </c>
      <c r="D12" s="5" t="s">
        <v>92</v>
      </c>
      <c r="E12" s="6">
        <v>3</v>
      </c>
      <c r="F12" s="5" t="s">
        <v>683</v>
      </c>
      <c r="G12" s="5"/>
      <c r="H12" s="5"/>
      <c r="I12" s="5"/>
      <c r="J12" s="5"/>
      <c r="K12" s="5"/>
    </row>
    <row r="13" ht="58.4" customHeight="1" spans="2:11" x14ac:dyDescent="0.25">
      <c r="B13" s="4" t="s">
        <v>101</v>
      </c>
      <c r="C13" s="7" t="s">
        <v>25</v>
      </c>
      <c r="D13" s="5" t="s">
        <v>102</v>
      </c>
      <c r="E13" s="6">
        <v>3</v>
      </c>
      <c r="F13" s="5" t="s">
        <v>684</v>
      </c>
      <c r="G13" s="5"/>
      <c r="H13" s="5"/>
      <c r="I13" s="5"/>
      <c r="J13" s="5"/>
      <c r="K13" s="5"/>
    </row>
    <row r="14" ht="71" customHeight="1" spans="2:11" x14ac:dyDescent="0.25">
      <c r="B14" s="4" t="s">
        <v>105</v>
      </c>
      <c r="C14" s="7" t="s">
        <v>25</v>
      </c>
      <c r="D14" s="5" t="s">
        <v>106</v>
      </c>
      <c r="E14" s="6">
        <v>5</v>
      </c>
      <c r="F14" s="5" t="s">
        <v>685</v>
      </c>
      <c r="G14" s="5"/>
      <c r="H14" s="5"/>
      <c r="I14" s="5"/>
      <c r="J14" s="5"/>
      <c r="K14" s="5"/>
    </row>
    <row r="15" ht="45.8" customHeight="1" spans="2:11" x14ac:dyDescent="0.25">
      <c r="B15" s="4" t="s">
        <v>208</v>
      </c>
      <c r="C15" s="11" t="s">
        <v>173</v>
      </c>
      <c r="D15" s="5" t="s">
        <v>209</v>
      </c>
      <c r="E15" s="6">
        <v>2</v>
      </c>
      <c r="F15" s="5" t="s">
        <v>686</v>
      </c>
      <c r="G15" s="5"/>
      <c r="H15" s="5"/>
      <c r="I15" s="5"/>
      <c r="J15" s="5"/>
      <c r="K15" s="5"/>
    </row>
    <row r="16" ht="58.4" customHeight="1" spans="2:11" x14ac:dyDescent="0.25">
      <c r="B16" s="4" t="s">
        <v>113</v>
      </c>
      <c r="C16" s="7" t="s">
        <v>25</v>
      </c>
      <c r="D16" s="5" t="s">
        <v>114</v>
      </c>
      <c r="E16" s="6">
        <v>5</v>
      </c>
      <c r="F16" s="5" t="s">
        <v>687</v>
      </c>
      <c r="G16" s="5"/>
      <c r="H16" s="5"/>
      <c r="I16" s="5"/>
      <c r="J16" s="5"/>
      <c r="K16" s="5"/>
    </row>
    <row r="17" ht="58.4" customHeight="1" spans="2:11" x14ac:dyDescent="0.25">
      <c r="B17" s="4" t="s">
        <v>122</v>
      </c>
      <c r="C17" s="7" t="s">
        <v>25</v>
      </c>
      <c r="D17" s="5" t="s">
        <v>123</v>
      </c>
      <c r="E17" s="6">
        <v>3</v>
      </c>
      <c r="F17" s="5" t="s">
        <v>688</v>
      </c>
      <c r="G17" s="5"/>
      <c r="H17" s="5"/>
      <c r="I17" s="5"/>
      <c r="J17" s="5"/>
      <c r="K17" s="5"/>
    </row>
    <row r="18" ht="58.4" customHeight="1" spans="2:11" x14ac:dyDescent="0.25">
      <c r="B18" s="4" t="s">
        <v>126</v>
      </c>
      <c r="C18" s="7" t="s">
        <v>25</v>
      </c>
      <c r="D18" s="5" t="s">
        <v>127</v>
      </c>
      <c r="E18" s="6">
        <v>3</v>
      </c>
      <c r="F18" s="5" t="s">
        <v>689</v>
      </c>
      <c r="G18" s="5"/>
      <c r="H18" s="5"/>
      <c r="I18" s="5"/>
      <c r="J18" s="5"/>
      <c r="K18" s="5"/>
    </row>
    <row r="19" ht="58.4" customHeight="1" spans="2:11" x14ac:dyDescent="0.25">
      <c r="B19" s="4" t="s">
        <v>192</v>
      </c>
      <c r="C19" s="11" t="s">
        <v>173</v>
      </c>
      <c r="D19" s="5" t="s">
        <v>193</v>
      </c>
      <c r="E19" s="6">
        <v>5</v>
      </c>
      <c r="F19" s="5" t="s">
        <v>690</v>
      </c>
      <c r="G19" s="5"/>
      <c r="H19" s="5"/>
      <c r="I19" s="5"/>
      <c r="J19" s="5"/>
      <c r="K19" s="5"/>
    </row>
    <row r="20" ht="45.8" customHeight="1" spans="2:11" x14ac:dyDescent="0.25">
      <c r="B20" s="4" t="s">
        <v>185</v>
      </c>
      <c r="C20" s="11" t="s">
        <v>173</v>
      </c>
      <c r="D20" s="5" t="s">
        <v>186</v>
      </c>
      <c r="E20" s="6">
        <v>3</v>
      </c>
      <c r="F20" s="5" t="s">
        <v>691</v>
      </c>
      <c r="G20" s="5"/>
      <c r="H20" s="5"/>
      <c r="I20" s="5"/>
      <c r="J20" s="5"/>
      <c r="K20" s="5"/>
    </row>
    <row r="21" ht="71" customHeight="1" spans="2:11" x14ac:dyDescent="0.25">
      <c r="B21" s="4" t="s">
        <v>177</v>
      </c>
      <c r="C21" s="11" t="s">
        <v>173</v>
      </c>
      <c r="D21" s="5" t="s">
        <v>178</v>
      </c>
      <c r="E21" s="6">
        <v>5</v>
      </c>
      <c r="F21" s="5" t="s">
        <v>692</v>
      </c>
      <c r="G21" s="5"/>
      <c r="H21" s="5"/>
      <c r="I21" s="5"/>
      <c r="J21" s="5"/>
      <c r="K21" s="5"/>
    </row>
    <row r="23" spans="2:11" x14ac:dyDescent="0.25">
      <c r="B23" s="28" t="s">
        <v>462</v>
      </c>
      <c r="C23"/>
      <c r="D23"/>
      <c r="E23"/>
      <c r="F23"/>
      <c r="G23"/>
      <c r="H23"/>
      <c r="I23"/>
      <c r="J23"/>
      <c r="K23"/>
    </row>
    <row r="24" ht="30" customHeight="1" spans="2:11" x14ac:dyDescent="0.25">
      <c r="B24" s="3" t="s">
        <v>463</v>
      </c>
      <c r="C24" s="3" t="s">
        <v>3</v>
      </c>
      <c r="D24" s="3" t="s">
        <v>464</v>
      </c>
      <c r="E24" s="3" t="s">
        <v>465</v>
      </c>
      <c r="F24" s="3" t="s">
        <v>466</v>
      </c>
      <c r="G24" s="3" t="s">
        <v>467</v>
      </c>
      <c r="H24" s="3" t="s">
        <v>468</v>
      </c>
      <c r="I24" s="3" t="s">
        <v>469</v>
      </c>
      <c r="J24" s="3" t="s">
        <v>15</v>
      </c>
      <c r="K24" s="3" t="s">
        <v>17</v>
      </c>
    </row>
    <row r="25" ht="45.8" customHeight="1" spans="2:11" x14ac:dyDescent="0.25">
      <c r="B25" s="4" t="s">
        <v>693</v>
      </c>
      <c r="C25" s="6" t="s">
        <v>91</v>
      </c>
      <c r="D25" s="5" t="s">
        <v>694</v>
      </c>
      <c r="E25" s="5" t="s">
        <v>480</v>
      </c>
      <c r="F25" s="5" t="s">
        <v>485</v>
      </c>
      <c r="G25" s="29">
        <v>3</v>
      </c>
      <c r="H25" s="5" t="s">
        <v>415</v>
      </c>
      <c r="I25" s="5" t="s">
        <v>695</v>
      </c>
      <c r="J25" s="6" t="s">
        <v>475</v>
      </c>
      <c r="K25" s="5" t="s">
        <v>696</v>
      </c>
    </row>
    <row r="26" ht="33.2" customHeight="1" spans="2:11" x14ac:dyDescent="0.25">
      <c r="B26" s="4" t="s">
        <v>697</v>
      </c>
      <c r="C26" s="6" t="s">
        <v>91</v>
      </c>
      <c r="D26" s="5" t="s">
        <v>698</v>
      </c>
      <c r="E26" s="5" t="s">
        <v>489</v>
      </c>
      <c r="F26" s="5" t="s">
        <v>480</v>
      </c>
      <c r="G26" s="29">
        <v>4</v>
      </c>
      <c r="H26" s="5" t="s">
        <v>693</v>
      </c>
      <c r="I26" s="5" t="s">
        <v>699</v>
      </c>
      <c r="J26" s="6" t="s">
        <v>475</v>
      </c>
      <c r="K26" s="5" t="s">
        <v>415</v>
      </c>
    </row>
    <row r="27" ht="33.2" customHeight="1" spans="2:11" x14ac:dyDescent="0.25">
      <c r="B27" s="4" t="s">
        <v>700</v>
      </c>
      <c r="C27" s="6" t="s">
        <v>91</v>
      </c>
      <c r="D27" s="5" t="s">
        <v>701</v>
      </c>
      <c r="E27" s="5" t="s">
        <v>479</v>
      </c>
      <c r="F27" s="5" t="s">
        <v>480</v>
      </c>
      <c r="G27" s="29">
        <v>4</v>
      </c>
      <c r="H27" s="5" t="s">
        <v>702</v>
      </c>
      <c r="I27" s="5" t="s">
        <v>703</v>
      </c>
      <c r="J27" s="6" t="s">
        <v>475</v>
      </c>
      <c r="K27" s="5" t="s">
        <v>415</v>
      </c>
    </row>
    <row r="28" ht="22" customHeight="1" spans="2:11" x14ac:dyDescent="0.25">
      <c r="B28" s="4" t="s">
        <v>704</v>
      </c>
      <c r="C28" s="6" t="s">
        <v>91</v>
      </c>
      <c r="D28" s="5" t="s">
        <v>705</v>
      </c>
      <c r="E28" s="5" t="s">
        <v>485</v>
      </c>
      <c r="F28" s="5" t="s">
        <v>489</v>
      </c>
      <c r="G28" s="29">
        <v>3</v>
      </c>
      <c r="H28" s="5" t="s">
        <v>700</v>
      </c>
      <c r="I28" s="5" t="s">
        <v>706</v>
      </c>
      <c r="J28" s="6" t="s">
        <v>475</v>
      </c>
      <c r="K28" s="5" t="s">
        <v>415</v>
      </c>
    </row>
    <row r="29" ht="33.2" customHeight="1" spans="2:11" x14ac:dyDescent="0.25">
      <c r="B29" s="4" t="s">
        <v>707</v>
      </c>
      <c r="C29" s="6" t="s">
        <v>101</v>
      </c>
      <c r="D29" s="5" t="s">
        <v>708</v>
      </c>
      <c r="E29" s="5" t="s">
        <v>485</v>
      </c>
      <c r="F29" s="5" t="s">
        <v>479</v>
      </c>
      <c r="G29" s="29">
        <v>4</v>
      </c>
      <c r="H29" s="5" t="s">
        <v>693</v>
      </c>
      <c r="I29" s="5" t="s">
        <v>709</v>
      </c>
      <c r="J29" s="6" t="s">
        <v>475</v>
      </c>
      <c r="K29" s="5" t="s">
        <v>415</v>
      </c>
    </row>
    <row r="30" ht="22" customHeight="1" spans="2:11" x14ac:dyDescent="0.25">
      <c r="B30" s="4" t="s">
        <v>710</v>
      </c>
      <c r="C30" s="6" t="s">
        <v>101</v>
      </c>
      <c r="D30" s="5" t="s">
        <v>711</v>
      </c>
      <c r="E30" s="5" t="s">
        <v>489</v>
      </c>
      <c r="F30" s="5" t="s">
        <v>485</v>
      </c>
      <c r="G30" s="29">
        <v>3</v>
      </c>
      <c r="H30" s="5" t="s">
        <v>700</v>
      </c>
      <c r="I30" s="5" t="s">
        <v>712</v>
      </c>
      <c r="J30" s="6" t="s">
        <v>475</v>
      </c>
      <c r="K30" s="5" t="s">
        <v>415</v>
      </c>
    </row>
    <row r="31" ht="33.2" customHeight="1" spans="2:11" x14ac:dyDescent="0.25">
      <c r="B31" s="4" t="s">
        <v>713</v>
      </c>
      <c r="C31" s="6" t="s">
        <v>101</v>
      </c>
      <c r="D31" s="5" t="s">
        <v>714</v>
      </c>
      <c r="E31" s="5" t="s">
        <v>479</v>
      </c>
      <c r="F31" s="5" t="s">
        <v>480</v>
      </c>
      <c r="G31" s="29">
        <v>6</v>
      </c>
      <c r="H31" s="5" t="s">
        <v>715</v>
      </c>
      <c r="I31" s="5" t="s">
        <v>716</v>
      </c>
      <c r="J31" s="6" t="s">
        <v>475</v>
      </c>
      <c r="K31" s="5" t="s">
        <v>415</v>
      </c>
    </row>
    <row r="32" ht="22" customHeight="1" spans="2:11" x14ac:dyDescent="0.25">
      <c r="B32" s="4" t="s">
        <v>717</v>
      </c>
      <c r="C32" s="6" t="s">
        <v>101</v>
      </c>
      <c r="D32" s="5" t="s">
        <v>718</v>
      </c>
      <c r="E32" s="5" t="s">
        <v>472</v>
      </c>
      <c r="F32" s="5" t="s">
        <v>479</v>
      </c>
      <c r="G32" s="29">
        <v>3</v>
      </c>
      <c r="H32" s="5" t="s">
        <v>713</v>
      </c>
      <c r="I32" s="5" t="s">
        <v>719</v>
      </c>
      <c r="J32" s="6" t="s">
        <v>475</v>
      </c>
      <c r="K32" s="5" t="s">
        <v>415</v>
      </c>
    </row>
    <row r="33" ht="33.2" customHeight="1" spans="2:11" x14ac:dyDescent="0.25">
      <c r="B33" s="4" t="s">
        <v>720</v>
      </c>
      <c r="C33" s="6" t="s">
        <v>105</v>
      </c>
      <c r="D33" s="5" t="s">
        <v>721</v>
      </c>
      <c r="E33" s="5" t="s">
        <v>473</v>
      </c>
      <c r="F33" s="5" t="s">
        <v>472</v>
      </c>
      <c r="G33" s="29">
        <v>2</v>
      </c>
      <c r="H33" s="5" t="s">
        <v>415</v>
      </c>
      <c r="I33" s="5" t="s">
        <v>722</v>
      </c>
      <c r="J33" s="6" t="s">
        <v>475</v>
      </c>
      <c r="K33" s="5" t="s">
        <v>415</v>
      </c>
    </row>
    <row r="34" ht="33.2" customHeight="1" spans="2:11" x14ac:dyDescent="0.25">
      <c r="B34" s="4" t="s">
        <v>723</v>
      </c>
      <c r="C34" s="6" t="s">
        <v>105</v>
      </c>
      <c r="D34" s="5" t="s">
        <v>724</v>
      </c>
      <c r="E34" s="5" t="s">
        <v>485</v>
      </c>
      <c r="F34" s="5" t="s">
        <v>480</v>
      </c>
      <c r="G34" s="29">
        <v>3</v>
      </c>
      <c r="H34" s="5" t="s">
        <v>725</v>
      </c>
      <c r="I34" s="5" t="s">
        <v>726</v>
      </c>
      <c r="J34" s="6" t="s">
        <v>475</v>
      </c>
      <c r="K34" s="5" t="s">
        <v>415</v>
      </c>
    </row>
    <row r="35" ht="33.2" customHeight="1" spans="2:11" x14ac:dyDescent="0.25">
      <c r="B35" s="4" t="s">
        <v>727</v>
      </c>
      <c r="C35" s="6" t="s">
        <v>105</v>
      </c>
      <c r="D35" s="5" t="s">
        <v>728</v>
      </c>
      <c r="E35" s="5" t="s">
        <v>485</v>
      </c>
      <c r="F35" s="5" t="s">
        <v>479</v>
      </c>
      <c r="G35" s="29">
        <v>6</v>
      </c>
      <c r="H35" s="5" t="s">
        <v>729</v>
      </c>
      <c r="I35" s="5" t="s">
        <v>730</v>
      </c>
      <c r="J35" s="6" t="s">
        <v>475</v>
      </c>
      <c r="K35" s="5" t="s">
        <v>415</v>
      </c>
    </row>
    <row r="36" ht="22" customHeight="1" spans="2:11" x14ac:dyDescent="0.25">
      <c r="B36" s="4" t="s">
        <v>731</v>
      </c>
      <c r="C36" s="6" t="s">
        <v>105</v>
      </c>
      <c r="D36" s="5" t="s">
        <v>732</v>
      </c>
      <c r="E36" s="5" t="s">
        <v>480</v>
      </c>
      <c r="F36" s="5" t="s">
        <v>485</v>
      </c>
      <c r="G36" s="29">
        <v>3</v>
      </c>
      <c r="H36" s="5" t="s">
        <v>727</v>
      </c>
      <c r="I36" s="5" t="s">
        <v>733</v>
      </c>
      <c r="J36" s="6" t="s">
        <v>475</v>
      </c>
      <c r="K36" s="5" t="s">
        <v>415</v>
      </c>
    </row>
    <row r="37" ht="33.2" customHeight="1" spans="2:11" x14ac:dyDescent="0.25">
      <c r="B37" s="4" t="s">
        <v>734</v>
      </c>
      <c r="C37" s="6" t="s">
        <v>105</v>
      </c>
      <c r="D37" s="5" t="s">
        <v>735</v>
      </c>
      <c r="E37" s="5" t="s">
        <v>489</v>
      </c>
      <c r="F37" s="5" t="s">
        <v>480</v>
      </c>
      <c r="G37" s="29">
        <v>6</v>
      </c>
      <c r="H37" s="5" t="s">
        <v>736</v>
      </c>
      <c r="I37" s="5" t="s">
        <v>737</v>
      </c>
      <c r="J37" s="6" t="s">
        <v>475</v>
      </c>
      <c r="K37" s="5" t="s">
        <v>415</v>
      </c>
    </row>
    <row r="38" ht="33.2" customHeight="1" spans="2:11" x14ac:dyDescent="0.25">
      <c r="B38" s="4" t="s">
        <v>738</v>
      </c>
      <c r="C38" s="6" t="s">
        <v>105</v>
      </c>
      <c r="D38" s="5" t="s">
        <v>739</v>
      </c>
      <c r="E38" s="5" t="s">
        <v>472</v>
      </c>
      <c r="F38" s="5" t="s">
        <v>485</v>
      </c>
      <c r="G38" s="29">
        <v>4</v>
      </c>
      <c r="H38" s="5" t="s">
        <v>734</v>
      </c>
      <c r="I38" s="5" t="s">
        <v>740</v>
      </c>
      <c r="J38" s="6" t="s">
        <v>475</v>
      </c>
      <c r="K38" s="5" t="s">
        <v>415</v>
      </c>
    </row>
    <row r="39" ht="33.2" customHeight="1" spans="2:11" x14ac:dyDescent="0.25">
      <c r="B39" s="4" t="s">
        <v>741</v>
      </c>
      <c r="C39" s="6" t="s">
        <v>208</v>
      </c>
      <c r="D39" s="5" t="s">
        <v>742</v>
      </c>
      <c r="E39" s="5" t="s">
        <v>489</v>
      </c>
      <c r="F39" s="5" t="s">
        <v>485</v>
      </c>
      <c r="G39" s="29">
        <v>4</v>
      </c>
      <c r="H39" s="5" t="s">
        <v>727</v>
      </c>
      <c r="I39" s="5" t="s">
        <v>743</v>
      </c>
      <c r="J39" s="6" t="s">
        <v>475</v>
      </c>
      <c r="K39" s="5" t="s">
        <v>415</v>
      </c>
    </row>
    <row r="40" ht="22" customHeight="1" spans="2:11" x14ac:dyDescent="0.25">
      <c r="B40" s="4" t="s">
        <v>744</v>
      </c>
      <c r="C40" s="6" t="s">
        <v>208</v>
      </c>
      <c r="D40" s="5" t="s">
        <v>745</v>
      </c>
      <c r="E40" s="5" t="s">
        <v>473</v>
      </c>
      <c r="F40" s="5" t="s">
        <v>472</v>
      </c>
      <c r="G40" s="29">
        <v>2</v>
      </c>
      <c r="H40" s="5" t="s">
        <v>741</v>
      </c>
      <c r="I40" s="5" t="s">
        <v>746</v>
      </c>
      <c r="J40" s="6" t="s">
        <v>475</v>
      </c>
      <c r="K40" s="5" t="s">
        <v>415</v>
      </c>
    </row>
    <row r="41" ht="33.2" customHeight="1" spans="2:11" x14ac:dyDescent="0.25">
      <c r="B41" s="4" t="s">
        <v>747</v>
      </c>
      <c r="C41" s="6" t="s">
        <v>113</v>
      </c>
      <c r="D41" s="5" t="s">
        <v>748</v>
      </c>
      <c r="E41" s="5" t="s">
        <v>479</v>
      </c>
      <c r="F41" s="5" t="s">
        <v>480</v>
      </c>
      <c r="G41" s="29">
        <v>3</v>
      </c>
      <c r="H41" s="5" t="s">
        <v>723</v>
      </c>
      <c r="I41" s="5" t="s">
        <v>749</v>
      </c>
      <c r="J41" s="6" t="s">
        <v>475</v>
      </c>
      <c r="K41" s="5" t="s">
        <v>415</v>
      </c>
    </row>
    <row r="42" ht="33.2" customHeight="1" spans="2:11" x14ac:dyDescent="0.25">
      <c r="B42" s="4" t="s">
        <v>750</v>
      </c>
      <c r="C42" s="6" t="s">
        <v>113</v>
      </c>
      <c r="D42" s="5" t="s">
        <v>751</v>
      </c>
      <c r="E42" s="5" t="s">
        <v>489</v>
      </c>
      <c r="F42" s="5" t="s">
        <v>479</v>
      </c>
      <c r="G42" s="29">
        <v>6</v>
      </c>
      <c r="H42" s="5" t="s">
        <v>747</v>
      </c>
      <c r="I42" s="5" t="s">
        <v>752</v>
      </c>
      <c r="J42" s="6" t="s">
        <v>475</v>
      </c>
      <c r="K42" s="5" t="s">
        <v>415</v>
      </c>
    </row>
    <row r="43" ht="33.2" customHeight="1" spans="2:11" x14ac:dyDescent="0.25">
      <c r="B43" s="4" t="s">
        <v>753</v>
      </c>
      <c r="C43" s="6" t="s">
        <v>113</v>
      </c>
      <c r="D43" s="5" t="s">
        <v>754</v>
      </c>
      <c r="E43" s="5" t="s">
        <v>479</v>
      </c>
      <c r="F43" s="5" t="s">
        <v>485</v>
      </c>
      <c r="G43" s="29">
        <v>6</v>
      </c>
      <c r="H43" s="5" t="s">
        <v>755</v>
      </c>
      <c r="I43" s="5" t="s">
        <v>756</v>
      </c>
      <c r="J43" s="6" t="s">
        <v>475</v>
      </c>
      <c r="K43" s="5" t="s">
        <v>415</v>
      </c>
    </row>
    <row r="44" ht="33.2" customHeight="1" spans="2:11" x14ac:dyDescent="0.25">
      <c r="B44" s="4" t="s">
        <v>757</v>
      </c>
      <c r="C44" s="6" t="s">
        <v>113</v>
      </c>
      <c r="D44" s="5" t="s">
        <v>758</v>
      </c>
      <c r="E44" s="5" t="s">
        <v>480</v>
      </c>
      <c r="F44" s="5" t="s">
        <v>479</v>
      </c>
      <c r="G44" s="29">
        <v>4</v>
      </c>
      <c r="H44" s="5" t="s">
        <v>753</v>
      </c>
      <c r="I44" s="5" t="s">
        <v>759</v>
      </c>
      <c r="J44" s="6" t="s">
        <v>475</v>
      </c>
      <c r="K44" s="5" t="s">
        <v>415</v>
      </c>
    </row>
    <row r="45" ht="33.2" customHeight="1" spans="2:11" x14ac:dyDescent="0.25">
      <c r="B45" s="4" t="s">
        <v>760</v>
      </c>
      <c r="C45" s="6" t="s">
        <v>113</v>
      </c>
      <c r="D45" s="5" t="s">
        <v>761</v>
      </c>
      <c r="E45" s="5" t="s">
        <v>473</v>
      </c>
      <c r="F45" s="5" t="s">
        <v>472</v>
      </c>
      <c r="G45" s="29">
        <v>2</v>
      </c>
      <c r="H45" s="5" t="s">
        <v>750</v>
      </c>
      <c r="I45" s="5" t="s">
        <v>762</v>
      </c>
      <c r="J45" s="6" t="s">
        <v>475</v>
      </c>
      <c r="K45" s="5" t="s">
        <v>415</v>
      </c>
    </row>
    <row r="46" ht="22" customHeight="1" spans="2:11" x14ac:dyDescent="0.25">
      <c r="B46" s="4" t="s">
        <v>763</v>
      </c>
      <c r="C46" s="6" t="s">
        <v>113</v>
      </c>
      <c r="D46" s="5" t="s">
        <v>764</v>
      </c>
      <c r="E46" s="5" t="s">
        <v>472</v>
      </c>
      <c r="F46" s="5" t="s">
        <v>489</v>
      </c>
      <c r="G46" s="29">
        <v>4</v>
      </c>
      <c r="H46" s="5" t="s">
        <v>757</v>
      </c>
      <c r="I46" s="5" t="s">
        <v>765</v>
      </c>
      <c r="J46" s="6" t="s">
        <v>475</v>
      </c>
      <c r="K46" s="5" t="s">
        <v>415</v>
      </c>
    </row>
    <row r="47" ht="33.2" customHeight="1" spans="2:11" x14ac:dyDescent="0.25">
      <c r="B47" s="4" t="s">
        <v>766</v>
      </c>
      <c r="C47" s="6" t="s">
        <v>122</v>
      </c>
      <c r="D47" s="5" t="s">
        <v>767</v>
      </c>
      <c r="E47" s="5" t="s">
        <v>485</v>
      </c>
      <c r="F47" s="5" t="s">
        <v>479</v>
      </c>
      <c r="G47" s="29">
        <v>4</v>
      </c>
      <c r="H47" s="5" t="s">
        <v>757</v>
      </c>
      <c r="I47" s="5" t="s">
        <v>768</v>
      </c>
      <c r="J47" s="6" t="s">
        <v>475</v>
      </c>
      <c r="K47" s="5" t="s">
        <v>415</v>
      </c>
    </row>
    <row r="48" ht="33.2" customHeight="1" spans="2:11" x14ac:dyDescent="0.25">
      <c r="B48" s="4" t="s">
        <v>769</v>
      </c>
      <c r="C48" s="6" t="s">
        <v>122</v>
      </c>
      <c r="D48" s="5" t="s">
        <v>770</v>
      </c>
      <c r="E48" s="5" t="s">
        <v>489</v>
      </c>
      <c r="F48" s="5" t="s">
        <v>485</v>
      </c>
      <c r="G48" s="29">
        <v>3</v>
      </c>
      <c r="H48" s="5" t="s">
        <v>766</v>
      </c>
      <c r="I48" s="5" t="s">
        <v>771</v>
      </c>
      <c r="J48" s="6" t="s">
        <v>475</v>
      </c>
      <c r="K48" s="5" t="s">
        <v>415</v>
      </c>
    </row>
    <row r="49" ht="33.2" customHeight="1" spans="2:11" x14ac:dyDescent="0.25">
      <c r="B49" s="4" t="s">
        <v>772</v>
      </c>
      <c r="C49" s="6" t="s">
        <v>122</v>
      </c>
      <c r="D49" s="5" t="s">
        <v>773</v>
      </c>
      <c r="E49" s="5" t="s">
        <v>480</v>
      </c>
      <c r="F49" s="5" t="s">
        <v>473</v>
      </c>
      <c r="G49" s="29">
        <v>3</v>
      </c>
      <c r="H49" s="5" t="s">
        <v>769</v>
      </c>
      <c r="I49" s="5" t="s">
        <v>774</v>
      </c>
      <c r="J49" s="6" t="s">
        <v>475</v>
      </c>
      <c r="K49" s="5" t="s">
        <v>775</v>
      </c>
    </row>
    <row r="50" ht="33.2" customHeight="1" spans="2:11" x14ac:dyDescent="0.25">
      <c r="B50" s="4" t="s">
        <v>776</v>
      </c>
      <c r="C50" s="6" t="s">
        <v>126</v>
      </c>
      <c r="D50" s="5" t="s">
        <v>777</v>
      </c>
      <c r="E50" s="5" t="s">
        <v>480</v>
      </c>
      <c r="F50" s="5" t="s">
        <v>479</v>
      </c>
      <c r="G50" s="29">
        <v>4</v>
      </c>
      <c r="H50" s="5" t="s">
        <v>778</v>
      </c>
      <c r="I50" s="5" t="s">
        <v>779</v>
      </c>
      <c r="J50" s="6" t="s">
        <v>475</v>
      </c>
      <c r="K50" s="5" t="s">
        <v>415</v>
      </c>
    </row>
    <row r="51" ht="22" customHeight="1" spans="2:11" x14ac:dyDescent="0.25">
      <c r="B51" s="4" t="s">
        <v>780</v>
      </c>
      <c r="C51" s="6" t="s">
        <v>126</v>
      </c>
      <c r="D51" s="5" t="s">
        <v>781</v>
      </c>
      <c r="E51" s="5" t="s">
        <v>485</v>
      </c>
      <c r="F51" s="5" t="s">
        <v>480</v>
      </c>
      <c r="G51" s="29">
        <v>3</v>
      </c>
      <c r="H51" s="5" t="s">
        <v>776</v>
      </c>
      <c r="I51" s="5" t="s">
        <v>782</v>
      </c>
      <c r="J51" s="6" t="s">
        <v>475</v>
      </c>
      <c r="K51" s="5" t="s">
        <v>415</v>
      </c>
    </row>
    <row r="52" ht="22" customHeight="1" spans="2:11" x14ac:dyDescent="0.25">
      <c r="B52" s="4" t="s">
        <v>783</v>
      </c>
      <c r="C52" s="6" t="s">
        <v>126</v>
      </c>
      <c r="D52" s="5" t="s">
        <v>784</v>
      </c>
      <c r="E52" s="5" t="s">
        <v>473</v>
      </c>
      <c r="F52" s="5" t="s">
        <v>472</v>
      </c>
      <c r="G52" s="29">
        <v>3</v>
      </c>
      <c r="H52" s="5" t="s">
        <v>780</v>
      </c>
      <c r="I52" s="5" t="s">
        <v>785</v>
      </c>
      <c r="J52" s="6" t="s">
        <v>475</v>
      </c>
      <c r="K52" s="5" t="s">
        <v>415</v>
      </c>
    </row>
    <row r="53" ht="33.2" customHeight="1" spans="2:11" x14ac:dyDescent="0.25">
      <c r="B53" s="4" t="s">
        <v>786</v>
      </c>
      <c r="C53" s="6" t="s">
        <v>192</v>
      </c>
      <c r="D53" s="5" t="s">
        <v>787</v>
      </c>
      <c r="E53" s="5" t="s">
        <v>473</v>
      </c>
      <c r="F53" s="5" t="s">
        <v>472</v>
      </c>
      <c r="G53" s="29">
        <v>2</v>
      </c>
      <c r="H53" s="5" t="s">
        <v>415</v>
      </c>
      <c r="I53" s="5" t="s">
        <v>788</v>
      </c>
      <c r="J53" s="6" t="s">
        <v>475</v>
      </c>
      <c r="K53" s="5" t="s">
        <v>415</v>
      </c>
    </row>
    <row r="54" ht="33.2" customHeight="1" spans="2:11" x14ac:dyDescent="0.25">
      <c r="B54" s="4" t="s">
        <v>789</v>
      </c>
      <c r="C54" s="6" t="s">
        <v>192</v>
      </c>
      <c r="D54" s="5" t="s">
        <v>790</v>
      </c>
      <c r="E54" s="5" t="s">
        <v>479</v>
      </c>
      <c r="F54" s="5" t="s">
        <v>485</v>
      </c>
      <c r="G54" s="29">
        <v>4</v>
      </c>
      <c r="H54" s="5" t="s">
        <v>791</v>
      </c>
      <c r="I54" s="5" t="s">
        <v>709</v>
      </c>
      <c r="J54" s="6" t="s">
        <v>475</v>
      </c>
      <c r="K54" s="5" t="s">
        <v>415</v>
      </c>
    </row>
    <row r="55" ht="33.2" customHeight="1" spans="2:11" x14ac:dyDescent="0.25">
      <c r="B55" s="4" t="s">
        <v>792</v>
      </c>
      <c r="C55" s="6" t="s">
        <v>192</v>
      </c>
      <c r="D55" s="5" t="s">
        <v>793</v>
      </c>
      <c r="E55" s="5" t="s">
        <v>489</v>
      </c>
      <c r="F55" s="5" t="s">
        <v>479</v>
      </c>
      <c r="G55" s="29">
        <v>6</v>
      </c>
      <c r="H55" s="5" t="s">
        <v>789</v>
      </c>
      <c r="I55" s="5" t="s">
        <v>794</v>
      </c>
      <c r="J55" s="6" t="s">
        <v>475</v>
      </c>
      <c r="K55" s="5" t="s">
        <v>415</v>
      </c>
    </row>
    <row r="56" ht="33.2" customHeight="1" spans="2:11" x14ac:dyDescent="0.25">
      <c r="B56" s="4" t="s">
        <v>795</v>
      </c>
      <c r="C56" s="6" t="s">
        <v>192</v>
      </c>
      <c r="D56" s="5" t="s">
        <v>796</v>
      </c>
      <c r="E56" s="5" t="s">
        <v>485</v>
      </c>
      <c r="F56" s="5" t="s">
        <v>480</v>
      </c>
      <c r="G56" s="29">
        <v>4</v>
      </c>
      <c r="H56" s="5" t="s">
        <v>797</v>
      </c>
      <c r="I56" s="5" t="s">
        <v>798</v>
      </c>
      <c r="J56" s="6" t="s">
        <v>475</v>
      </c>
      <c r="K56" s="5" t="s">
        <v>415</v>
      </c>
    </row>
    <row r="57" ht="22" customHeight="1" spans="2:11" x14ac:dyDescent="0.25">
      <c r="B57" s="4" t="s">
        <v>799</v>
      </c>
      <c r="C57" s="6" t="s">
        <v>192</v>
      </c>
      <c r="D57" s="5" t="s">
        <v>800</v>
      </c>
      <c r="E57" s="5" t="s">
        <v>480</v>
      </c>
      <c r="F57" s="5" t="s">
        <v>489</v>
      </c>
      <c r="G57" s="29">
        <v>4</v>
      </c>
      <c r="H57" s="5" t="s">
        <v>801</v>
      </c>
      <c r="I57" s="5" t="s">
        <v>802</v>
      </c>
      <c r="J57" s="6" t="s">
        <v>475</v>
      </c>
      <c r="K57" s="5" t="s">
        <v>415</v>
      </c>
    </row>
    <row r="58" ht="33.2" customHeight="1" spans="2:11" x14ac:dyDescent="0.25">
      <c r="B58" s="4" t="s">
        <v>803</v>
      </c>
      <c r="C58" s="6" t="s">
        <v>185</v>
      </c>
      <c r="D58" s="5" t="s">
        <v>804</v>
      </c>
      <c r="E58" s="5" t="s">
        <v>473</v>
      </c>
      <c r="F58" s="5" t="s">
        <v>472</v>
      </c>
      <c r="G58" s="29">
        <v>2</v>
      </c>
      <c r="H58" s="5" t="s">
        <v>415</v>
      </c>
      <c r="I58" s="5" t="s">
        <v>805</v>
      </c>
      <c r="J58" s="6" t="s">
        <v>475</v>
      </c>
      <c r="K58" s="5" t="s">
        <v>415</v>
      </c>
    </row>
    <row r="59" ht="45.8" customHeight="1" spans="2:11" x14ac:dyDescent="0.25">
      <c r="B59" s="4" t="s">
        <v>806</v>
      </c>
      <c r="C59" s="6" t="s">
        <v>185</v>
      </c>
      <c r="D59" s="5" t="s">
        <v>807</v>
      </c>
      <c r="E59" s="5" t="s">
        <v>480</v>
      </c>
      <c r="F59" s="5" t="s">
        <v>479</v>
      </c>
      <c r="G59" s="29">
        <v>6</v>
      </c>
      <c r="H59" s="5" t="s">
        <v>808</v>
      </c>
      <c r="I59" s="5" t="s">
        <v>809</v>
      </c>
      <c r="J59" s="6" t="s">
        <v>475</v>
      </c>
      <c r="K59" s="5" t="s">
        <v>810</v>
      </c>
    </row>
    <row r="60" ht="22" customHeight="1" spans="2:11" x14ac:dyDescent="0.25">
      <c r="B60" s="4" t="s">
        <v>811</v>
      </c>
      <c r="C60" s="6" t="s">
        <v>185</v>
      </c>
      <c r="D60" s="5" t="s">
        <v>812</v>
      </c>
      <c r="E60" s="5" t="s">
        <v>472</v>
      </c>
      <c r="F60" s="5" t="s">
        <v>489</v>
      </c>
      <c r="G60" s="29">
        <v>3</v>
      </c>
      <c r="H60" s="5" t="s">
        <v>806</v>
      </c>
      <c r="I60" s="5" t="s">
        <v>813</v>
      </c>
      <c r="J60" s="6" t="s">
        <v>475</v>
      </c>
      <c r="K60" s="5" t="s">
        <v>415</v>
      </c>
    </row>
    <row r="61" ht="33.2" customHeight="1" spans="2:11" x14ac:dyDescent="0.25">
      <c r="B61" s="4" t="s">
        <v>814</v>
      </c>
      <c r="C61" s="6" t="s">
        <v>177</v>
      </c>
      <c r="D61" s="5" t="s">
        <v>815</v>
      </c>
      <c r="E61" s="5" t="s">
        <v>489</v>
      </c>
      <c r="F61" s="5" t="s">
        <v>479</v>
      </c>
      <c r="G61" s="29">
        <v>4</v>
      </c>
      <c r="H61" s="5" t="s">
        <v>816</v>
      </c>
      <c r="I61" s="5" t="s">
        <v>817</v>
      </c>
      <c r="J61" s="6" t="s">
        <v>475</v>
      </c>
      <c r="K61" s="5" t="s">
        <v>415</v>
      </c>
    </row>
    <row r="62" ht="33.2" customHeight="1" spans="2:11" x14ac:dyDescent="0.25">
      <c r="B62" s="4" t="s">
        <v>818</v>
      </c>
      <c r="C62" s="6" t="s">
        <v>177</v>
      </c>
      <c r="D62" s="5" t="s">
        <v>819</v>
      </c>
      <c r="E62" s="5" t="s">
        <v>480</v>
      </c>
      <c r="F62" s="5" t="s">
        <v>485</v>
      </c>
      <c r="G62" s="29">
        <v>6</v>
      </c>
      <c r="H62" s="5" t="s">
        <v>814</v>
      </c>
      <c r="I62" s="5" t="s">
        <v>820</v>
      </c>
      <c r="J62" s="6" t="s">
        <v>475</v>
      </c>
      <c r="K62" s="5" t="s">
        <v>415</v>
      </c>
    </row>
    <row r="63" ht="33.2" customHeight="1" spans="2:11" x14ac:dyDescent="0.25">
      <c r="B63" s="4" t="s">
        <v>821</v>
      </c>
      <c r="C63" s="6" t="s">
        <v>177</v>
      </c>
      <c r="D63" s="5" t="s">
        <v>822</v>
      </c>
      <c r="E63" s="5" t="s">
        <v>485</v>
      </c>
      <c r="F63" s="5" t="s">
        <v>480</v>
      </c>
      <c r="G63" s="29">
        <v>4</v>
      </c>
      <c r="H63" s="5" t="s">
        <v>814</v>
      </c>
      <c r="I63" s="5" t="s">
        <v>823</v>
      </c>
      <c r="J63" s="6" t="s">
        <v>475</v>
      </c>
      <c r="K63" s="5" t="s">
        <v>415</v>
      </c>
    </row>
    <row r="64" ht="22" customHeight="1" spans="2:11" x14ac:dyDescent="0.25">
      <c r="B64" s="4" t="s">
        <v>824</v>
      </c>
      <c r="C64" s="6" t="s">
        <v>177</v>
      </c>
      <c r="D64" s="5" t="s">
        <v>825</v>
      </c>
      <c r="E64" s="5" t="s">
        <v>472</v>
      </c>
      <c r="F64" s="5" t="s">
        <v>489</v>
      </c>
      <c r="G64" s="29">
        <v>3</v>
      </c>
      <c r="H64" s="5" t="s">
        <v>826</v>
      </c>
      <c r="I64" s="5" t="s">
        <v>827</v>
      </c>
      <c r="J64" s="6" t="s">
        <v>475</v>
      </c>
      <c r="K64" s="5" t="s">
        <v>415</v>
      </c>
    </row>
    <row r="65" ht="58.4" customHeight="1" spans="2:11" x14ac:dyDescent="0.25">
      <c r="B65" s="4" t="s">
        <v>828</v>
      </c>
      <c r="C65" s="6" t="s">
        <v>415</v>
      </c>
      <c r="D65" s="5" t="s">
        <v>829</v>
      </c>
      <c r="E65" s="5" t="s">
        <v>485</v>
      </c>
      <c r="F65" s="5" t="s">
        <v>473</v>
      </c>
      <c r="G65" s="29">
        <v>4</v>
      </c>
      <c r="H65" s="5" t="s">
        <v>830</v>
      </c>
      <c r="I65" s="5" t="s">
        <v>656</v>
      </c>
      <c r="J65" s="6" t="s">
        <v>475</v>
      </c>
      <c r="K65" s="5" t="s">
        <v>657</v>
      </c>
    </row>
    <row r="66" ht="33.2" customHeight="1" spans="2:11" x14ac:dyDescent="0.25">
      <c r="B66" s="4" t="s">
        <v>831</v>
      </c>
      <c r="C66" s="6" t="s">
        <v>415</v>
      </c>
      <c r="D66" s="5" t="s">
        <v>832</v>
      </c>
      <c r="E66" s="5" t="s">
        <v>479</v>
      </c>
      <c r="F66" s="5" t="s">
        <v>480</v>
      </c>
      <c r="G66" s="29">
        <v>6</v>
      </c>
      <c r="H66" s="5" t="s">
        <v>828</v>
      </c>
      <c r="I66" s="5" t="s">
        <v>660</v>
      </c>
      <c r="J66" s="6" t="s">
        <v>475</v>
      </c>
      <c r="K66" s="5" t="s">
        <v>833</v>
      </c>
    </row>
    <row r="67" ht="33.2" customHeight="1" spans="2:11" x14ac:dyDescent="0.25">
      <c r="B67" s="4" t="s">
        <v>834</v>
      </c>
      <c r="C67" s="6" t="s">
        <v>835</v>
      </c>
      <c r="D67" s="5" t="s">
        <v>836</v>
      </c>
      <c r="E67" s="5" t="s">
        <v>473</v>
      </c>
      <c r="F67" s="5" t="s">
        <v>472</v>
      </c>
      <c r="G67" s="29">
        <v>3</v>
      </c>
      <c r="H67" s="5" t="s">
        <v>837</v>
      </c>
      <c r="I67" s="5" t="s">
        <v>666</v>
      </c>
      <c r="J67" s="6" t="s">
        <v>475</v>
      </c>
      <c r="K67" s="5" t="s">
        <v>667</v>
      </c>
    </row>
    <row r="68" ht="33.2" customHeight="1" spans="2:11" x14ac:dyDescent="0.25">
      <c r="B68" s="4" t="s">
        <v>838</v>
      </c>
      <c r="C68" s="6" t="s">
        <v>839</v>
      </c>
      <c r="D68" s="5" t="s">
        <v>840</v>
      </c>
      <c r="E68" s="5" t="s">
        <v>473</v>
      </c>
      <c r="F68" s="5" t="s">
        <v>472</v>
      </c>
      <c r="G68" s="29">
        <v>3</v>
      </c>
      <c r="H68" s="5" t="s">
        <v>841</v>
      </c>
      <c r="I68" s="5" t="s">
        <v>666</v>
      </c>
      <c r="J68" s="6" t="s">
        <v>475</v>
      </c>
      <c r="K68" s="5" t="s">
        <v>667</v>
      </c>
    </row>
    <row r="69" ht="33.2" customHeight="1" spans="2:11" x14ac:dyDescent="0.25">
      <c r="B69" s="4" t="s">
        <v>842</v>
      </c>
      <c r="C69" s="6" t="s">
        <v>843</v>
      </c>
      <c r="D69" s="5" t="s">
        <v>844</v>
      </c>
      <c r="E69" s="5" t="s">
        <v>473</v>
      </c>
      <c r="F69" s="5" t="s">
        <v>472</v>
      </c>
      <c r="G69" s="29">
        <v>3</v>
      </c>
      <c r="H69" s="5" t="s">
        <v>845</v>
      </c>
      <c r="I69" s="5" t="s">
        <v>666</v>
      </c>
      <c r="J69" s="6" t="s">
        <v>475</v>
      </c>
      <c r="K69" s="5" t="s">
        <v>667</v>
      </c>
    </row>
    <row r="70" ht="33.2" customHeight="1" spans="2:11" x14ac:dyDescent="0.25">
      <c r="B70" s="4" t="s">
        <v>846</v>
      </c>
      <c r="C70" s="6" t="s">
        <v>415</v>
      </c>
      <c r="D70" s="5" t="s">
        <v>847</v>
      </c>
      <c r="E70" s="5" t="s">
        <v>472</v>
      </c>
      <c r="F70" s="5" t="s">
        <v>473</v>
      </c>
      <c r="G70" s="29">
        <v>2</v>
      </c>
      <c r="H70" s="5" t="s">
        <v>848</v>
      </c>
      <c r="I70" s="5" t="s">
        <v>678</v>
      </c>
      <c r="J70" s="6" t="s">
        <v>475</v>
      </c>
      <c r="K70" s="5" t="s">
        <v>482</v>
      </c>
    </row>
  </sheetData>
  <autoFilter ref="B24:K70"/>
  <mergeCells count="29">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B23:K23"/>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73"/>
  <sheetViews>
    <sheetView workbookViewId="0" showGridLines="0" zoomScale="85" zoomScaleNormal="100">
      <pane ySplit="2" topLeftCell="A3" activePane="bottomLeft" state="frozen"/>
      <selection pane="bottomLeft"/>
    </sheetView>
  </sheetViews>
  <sheetFormatPr defaultRowHeight="15" outlineLevelRow="0" outlineLevelCol="0" x14ac:dyDescent="55"/>
  <cols>
    <col min="1" max="1" width="3.43" customWidth="1"/>
    <col min="2" max="2" width="10" customWidth="1"/>
    <col min="3" max="3" width="14" customWidth="1"/>
    <col min="4" max="4" width="56" customWidth="1"/>
    <col min="5" max="6" width="14" customWidth="1"/>
    <col min="7" max="7" width="10" customWidth="1"/>
    <col min="8" max="8" width="20" customWidth="1"/>
    <col min="9" max="9" width="34" customWidth="1"/>
    <col min="10" max="10" width="11" customWidth="1"/>
    <col min="11" max="11" width="44" customWidth="1"/>
  </cols>
  <sheetData>
    <row r="1" ht="40" customHeight="1" spans="2:11" x14ac:dyDescent="0.25">
      <c r="B1" s="26" t="s">
        <v>849</v>
      </c>
      <c r="C1"/>
      <c r="D1"/>
      <c r="E1"/>
      <c r="F1"/>
      <c r="G1"/>
      <c r="H1"/>
      <c r="I1"/>
      <c r="J1"/>
      <c r="K1"/>
    </row>
    <row r="2" ht="26" customHeight="1" spans="2:11" x14ac:dyDescent="0.25">
      <c r="B2" s="2" t="s">
        <v>438</v>
      </c>
      <c r="C2"/>
      <c r="D2"/>
      <c r="E2"/>
      <c r="F2"/>
      <c r="G2"/>
      <c r="H2"/>
      <c r="I2"/>
      <c r="J2"/>
      <c r="K2"/>
    </row>
    <row r="3" ht="18" customHeight="1" spans="2:11" x14ac:dyDescent="0.25">
      <c r="B3" s="22" t="s">
        <v>439</v>
      </c>
      <c r="C3" s="27"/>
      <c r="D3" s="5" t="s">
        <v>849</v>
      </c>
      <c r="E3" s="27"/>
      <c r="F3" s="27"/>
      <c r="G3" s="27"/>
      <c r="H3" s="27"/>
      <c r="I3" s="27"/>
      <c r="J3" s="27"/>
      <c r="K3" s="27"/>
    </row>
    <row r="4" ht="37.2" customHeight="1" spans="2:11" x14ac:dyDescent="0.25">
      <c r="B4" s="22" t="s">
        <v>440</v>
      </c>
      <c r="C4" s="27"/>
      <c r="D4" s="5" t="s">
        <v>850</v>
      </c>
      <c r="E4" s="27"/>
      <c r="F4" s="27"/>
      <c r="G4" s="27"/>
      <c r="H4" s="27"/>
      <c r="I4" s="27"/>
      <c r="J4" s="27"/>
      <c r="K4" s="27"/>
    </row>
    <row r="5" ht="62.4" customHeight="1" spans="2:11" x14ac:dyDescent="0.25">
      <c r="B5" s="22" t="s">
        <v>442</v>
      </c>
      <c r="C5" s="27"/>
      <c r="D5" s="5" t="s">
        <v>851</v>
      </c>
      <c r="E5" s="27"/>
      <c r="F5" s="27"/>
      <c r="G5" s="27"/>
      <c r="H5" s="27"/>
      <c r="I5" s="27"/>
      <c r="J5" s="27"/>
      <c r="K5" s="27"/>
    </row>
    <row r="6" ht="18" customHeight="1" spans="2:11" x14ac:dyDescent="0.25">
      <c r="B6" s="22" t="s">
        <v>303</v>
      </c>
      <c r="C6" s="27"/>
      <c r="D6" s="25">
        <f>SUM(E12:E21)</f>
        <v>35</v>
      </c>
      <c r="E6" s="27"/>
      <c r="F6" s="27"/>
      <c r="G6" s="27"/>
      <c r="H6" s="27"/>
      <c r="I6" s="27"/>
      <c r="J6" s="27"/>
      <c r="K6" s="27"/>
    </row>
    <row r="7" ht="18" customHeight="1" spans="2:11" x14ac:dyDescent="0.25">
      <c r="B7" s="22" t="s">
        <v>444</v>
      </c>
      <c r="C7" s="27"/>
      <c r="D7" s="25">
        <f>SUM(G25:G73)</f>
        <v>195</v>
      </c>
      <c r="E7" s="27"/>
      <c r="F7" s="27"/>
      <c r="G7" s="27"/>
      <c r="H7" s="27"/>
      <c r="I7" s="27"/>
      <c r="J7" s="27"/>
      <c r="K7" s="27"/>
    </row>
    <row r="8" ht="18" customHeight="1" spans="2:11" x14ac:dyDescent="0.25">
      <c r="B8" s="22" t="s">
        <v>445</v>
      </c>
      <c r="C8" s="27"/>
      <c r="D8" s="5" t="s">
        <v>852</v>
      </c>
      <c r="E8" s="27"/>
      <c r="F8" s="27"/>
      <c r="G8" s="27"/>
      <c r="H8" s="27"/>
      <c r="I8" s="27"/>
      <c r="J8" s="27"/>
      <c r="K8" s="27"/>
    </row>
    <row r="9" ht="30" customHeight="1" spans="2:11" x14ac:dyDescent="0.25">
      <c r="B9" s="22" t="s">
        <v>447</v>
      </c>
      <c r="C9" s="27"/>
      <c r="D9" s="5" t="s">
        <v>448</v>
      </c>
      <c r="E9" s="27"/>
      <c r="F9" s="27"/>
      <c r="G9" s="27"/>
      <c r="H9" s="27"/>
      <c r="I9" s="27"/>
      <c r="J9" s="27"/>
      <c r="K9" s="27"/>
    </row>
    <row r="10" spans="2:11" x14ac:dyDescent="0.25">
      <c r="B10" s="28" t="s">
        <v>449</v>
      </c>
      <c r="C10"/>
      <c r="D10"/>
      <c r="E10"/>
      <c r="F10"/>
      <c r="G10"/>
      <c r="H10"/>
      <c r="I10"/>
      <c r="J10"/>
      <c r="K10"/>
    </row>
    <row r="11" ht="24" customHeight="1" spans="2:11" x14ac:dyDescent="0.25">
      <c r="B11" s="3" t="s">
        <v>3</v>
      </c>
      <c r="C11" s="3" t="s">
        <v>10</v>
      </c>
      <c r="D11" s="3" t="s">
        <v>4</v>
      </c>
      <c r="E11" s="3" t="s">
        <v>12</v>
      </c>
      <c r="F11" s="3" t="s">
        <v>450</v>
      </c>
      <c r="G11" s="3"/>
      <c r="H11" s="3"/>
      <c r="I11" s="3"/>
      <c r="J11" s="3"/>
      <c r="K11" s="3"/>
    </row>
    <row r="12" ht="58.4" customHeight="1" spans="2:11" x14ac:dyDescent="0.25">
      <c r="B12" s="4" t="s">
        <v>134</v>
      </c>
      <c r="C12" s="7" t="s">
        <v>25</v>
      </c>
      <c r="D12" s="5" t="s">
        <v>135</v>
      </c>
      <c r="E12" s="6">
        <v>3</v>
      </c>
      <c r="F12" s="5" t="s">
        <v>853</v>
      </c>
      <c r="G12" s="5"/>
      <c r="H12" s="5"/>
      <c r="I12" s="5"/>
      <c r="J12" s="5"/>
      <c r="K12" s="5"/>
    </row>
    <row r="13" ht="58.4" customHeight="1" spans="2:11" x14ac:dyDescent="0.25">
      <c r="B13" s="4" t="s">
        <v>145</v>
      </c>
      <c r="C13" s="7" t="s">
        <v>25</v>
      </c>
      <c r="D13" s="5" t="s">
        <v>146</v>
      </c>
      <c r="E13" s="6">
        <v>5</v>
      </c>
      <c r="F13" s="5" t="s">
        <v>854</v>
      </c>
      <c r="G13" s="5"/>
      <c r="H13" s="5"/>
      <c r="I13" s="5"/>
      <c r="J13" s="5"/>
      <c r="K13" s="5"/>
    </row>
    <row r="14" ht="45.8" customHeight="1" spans="2:11" x14ac:dyDescent="0.25">
      <c r="B14" s="4" t="s">
        <v>152</v>
      </c>
      <c r="C14" s="7" t="s">
        <v>25</v>
      </c>
      <c r="D14" s="5" t="s">
        <v>153</v>
      </c>
      <c r="E14" s="6">
        <v>3</v>
      </c>
      <c r="F14" s="5" t="s">
        <v>855</v>
      </c>
      <c r="G14" s="5"/>
      <c r="H14" s="5"/>
      <c r="I14" s="5"/>
      <c r="J14" s="5"/>
      <c r="K14" s="5"/>
    </row>
    <row r="15" ht="58.4" customHeight="1" spans="2:11" x14ac:dyDescent="0.25">
      <c r="B15" s="4" t="s">
        <v>159</v>
      </c>
      <c r="C15" s="7" t="s">
        <v>25</v>
      </c>
      <c r="D15" s="5" t="s">
        <v>160</v>
      </c>
      <c r="E15" s="6">
        <v>5</v>
      </c>
      <c r="F15" s="5" t="s">
        <v>856</v>
      </c>
      <c r="G15" s="5"/>
      <c r="H15" s="5"/>
      <c r="I15" s="5"/>
      <c r="J15" s="5"/>
      <c r="K15" s="5"/>
    </row>
    <row r="16" ht="58.4" customHeight="1" spans="2:11" x14ac:dyDescent="0.25">
      <c r="B16" s="4" t="s">
        <v>164</v>
      </c>
      <c r="C16" s="7" t="s">
        <v>25</v>
      </c>
      <c r="D16" s="5" t="s">
        <v>165</v>
      </c>
      <c r="E16" s="6">
        <v>3</v>
      </c>
      <c r="F16" s="5" t="s">
        <v>857</v>
      </c>
      <c r="G16" s="5"/>
      <c r="H16" s="5"/>
      <c r="I16" s="5"/>
      <c r="J16" s="5"/>
      <c r="K16" s="5"/>
    </row>
    <row r="17" ht="58.4" customHeight="1" spans="2:11" x14ac:dyDescent="0.25">
      <c r="B17" s="4" t="s">
        <v>212</v>
      </c>
      <c r="C17" s="11" t="s">
        <v>173</v>
      </c>
      <c r="D17" s="5" t="s">
        <v>213</v>
      </c>
      <c r="E17" s="6">
        <v>2</v>
      </c>
      <c r="F17" s="5" t="s">
        <v>858</v>
      </c>
      <c r="G17" s="5"/>
      <c r="H17" s="5"/>
      <c r="I17" s="5"/>
      <c r="J17" s="5"/>
      <c r="K17" s="5"/>
    </row>
    <row r="18" ht="58.4" customHeight="1" spans="2:11" x14ac:dyDescent="0.25">
      <c r="B18" s="4" t="s">
        <v>406</v>
      </c>
      <c r="C18" s="11" t="s">
        <v>173</v>
      </c>
      <c r="D18" s="5" t="s">
        <v>269</v>
      </c>
      <c r="E18" s="6">
        <v>3</v>
      </c>
      <c r="F18" s="5" t="s">
        <v>859</v>
      </c>
      <c r="G18" s="5"/>
      <c r="H18" s="5"/>
      <c r="I18" s="5"/>
      <c r="J18" s="5"/>
      <c r="K18" s="5"/>
    </row>
    <row r="19" ht="58.4" customHeight="1" spans="2:11" x14ac:dyDescent="0.25">
      <c r="B19" s="4" t="s">
        <v>410</v>
      </c>
      <c r="C19" s="11" t="s">
        <v>173</v>
      </c>
      <c r="D19" s="5" t="s">
        <v>277</v>
      </c>
      <c r="E19" s="6">
        <v>3</v>
      </c>
      <c r="F19" s="5" t="s">
        <v>860</v>
      </c>
      <c r="G19" s="5"/>
      <c r="H19" s="5"/>
      <c r="I19" s="5"/>
      <c r="J19" s="5"/>
      <c r="K19" s="5"/>
    </row>
    <row r="20" ht="58.4" customHeight="1" spans="2:11" x14ac:dyDescent="0.25">
      <c r="B20" s="4" t="s">
        <v>402</v>
      </c>
      <c r="C20" s="11" t="s">
        <v>173</v>
      </c>
      <c r="D20" s="5" t="s">
        <v>200</v>
      </c>
      <c r="E20" s="6">
        <v>5</v>
      </c>
      <c r="F20" s="5" t="s">
        <v>861</v>
      </c>
      <c r="G20" s="5"/>
      <c r="H20" s="5"/>
      <c r="I20" s="5"/>
      <c r="J20" s="5"/>
      <c r="K20" s="5"/>
    </row>
    <row r="21" ht="71" customHeight="1" spans="2:11" x14ac:dyDescent="0.25">
      <c r="B21" s="4" t="s">
        <v>393</v>
      </c>
      <c r="C21" s="11" t="s">
        <v>173</v>
      </c>
      <c r="D21" s="5" t="s">
        <v>232</v>
      </c>
      <c r="E21" s="6">
        <v>3</v>
      </c>
      <c r="F21" s="5" t="s">
        <v>862</v>
      </c>
      <c r="G21" s="5"/>
      <c r="H21" s="5"/>
      <c r="I21" s="5"/>
      <c r="J21" s="5"/>
      <c r="K21" s="5"/>
    </row>
    <row r="23" spans="2:11" x14ac:dyDescent="0.25">
      <c r="B23" s="28" t="s">
        <v>462</v>
      </c>
      <c r="C23"/>
      <c r="D23"/>
      <c r="E23"/>
      <c r="F23"/>
      <c r="G23"/>
      <c r="H23"/>
      <c r="I23"/>
      <c r="J23"/>
      <c r="K23"/>
    </row>
    <row r="24" ht="30" customHeight="1" spans="2:11" x14ac:dyDescent="0.25">
      <c r="B24" s="3" t="s">
        <v>463</v>
      </c>
      <c r="C24" s="3" t="s">
        <v>3</v>
      </c>
      <c r="D24" s="3" t="s">
        <v>464</v>
      </c>
      <c r="E24" s="3" t="s">
        <v>465</v>
      </c>
      <c r="F24" s="3" t="s">
        <v>466</v>
      </c>
      <c r="G24" s="3" t="s">
        <v>467</v>
      </c>
      <c r="H24" s="3" t="s">
        <v>468</v>
      </c>
      <c r="I24" s="3" t="s">
        <v>469</v>
      </c>
      <c r="J24" s="3" t="s">
        <v>15</v>
      </c>
      <c r="K24" s="3" t="s">
        <v>17</v>
      </c>
    </row>
    <row r="25" ht="33.2" customHeight="1" spans="2:11" x14ac:dyDescent="0.25">
      <c r="B25" s="4" t="s">
        <v>863</v>
      </c>
      <c r="C25" s="6" t="s">
        <v>134</v>
      </c>
      <c r="D25" s="5" t="s">
        <v>864</v>
      </c>
      <c r="E25" s="5" t="s">
        <v>489</v>
      </c>
      <c r="F25" s="5" t="s">
        <v>479</v>
      </c>
      <c r="G25" s="29">
        <v>4</v>
      </c>
      <c r="H25" s="5" t="s">
        <v>415</v>
      </c>
      <c r="I25" s="5" t="s">
        <v>865</v>
      </c>
      <c r="J25" s="6" t="s">
        <v>475</v>
      </c>
      <c r="K25" s="5" t="s">
        <v>415</v>
      </c>
    </row>
    <row r="26" ht="33.2" customHeight="1" spans="2:11" x14ac:dyDescent="0.25">
      <c r="B26" s="4" t="s">
        <v>866</v>
      </c>
      <c r="C26" s="6" t="s">
        <v>134</v>
      </c>
      <c r="D26" s="5" t="s">
        <v>867</v>
      </c>
      <c r="E26" s="5" t="s">
        <v>480</v>
      </c>
      <c r="F26" s="5" t="s">
        <v>485</v>
      </c>
      <c r="G26" s="29">
        <v>4</v>
      </c>
      <c r="H26" s="5" t="s">
        <v>863</v>
      </c>
      <c r="I26" s="5" t="s">
        <v>868</v>
      </c>
      <c r="J26" s="6" t="s">
        <v>475</v>
      </c>
      <c r="K26" s="5" t="s">
        <v>415</v>
      </c>
    </row>
    <row r="27" ht="33.2" customHeight="1" spans="2:11" x14ac:dyDescent="0.25">
      <c r="B27" s="4" t="s">
        <v>869</v>
      </c>
      <c r="C27" s="6" t="s">
        <v>134</v>
      </c>
      <c r="D27" s="5" t="s">
        <v>870</v>
      </c>
      <c r="E27" s="5" t="s">
        <v>485</v>
      </c>
      <c r="F27" s="5" t="s">
        <v>479</v>
      </c>
      <c r="G27" s="29">
        <v>3</v>
      </c>
      <c r="H27" s="5" t="s">
        <v>871</v>
      </c>
      <c r="I27" s="5" t="s">
        <v>872</v>
      </c>
      <c r="J27" s="6" t="s">
        <v>475</v>
      </c>
      <c r="K27" s="5" t="s">
        <v>415</v>
      </c>
    </row>
    <row r="28" ht="22" customHeight="1" spans="2:11" x14ac:dyDescent="0.25">
      <c r="B28" s="4" t="s">
        <v>873</v>
      </c>
      <c r="C28" s="6" t="s">
        <v>134</v>
      </c>
      <c r="D28" s="5" t="s">
        <v>874</v>
      </c>
      <c r="E28" s="5" t="s">
        <v>473</v>
      </c>
      <c r="F28" s="5" t="s">
        <v>480</v>
      </c>
      <c r="G28" s="29">
        <v>3</v>
      </c>
      <c r="H28" s="5" t="s">
        <v>869</v>
      </c>
      <c r="I28" s="5" t="s">
        <v>875</v>
      </c>
      <c r="J28" s="6" t="s">
        <v>475</v>
      </c>
      <c r="K28" s="5" t="s">
        <v>415</v>
      </c>
    </row>
    <row r="29" ht="45.8" customHeight="1" spans="2:11" x14ac:dyDescent="0.25">
      <c r="B29" s="4" t="s">
        <v>876</v>
      </c>
      <c r="C29" s="6" t="s">
        <v>145</v>
      </c>
      <c r="D29" s="5" t="s">
        <v>877</v>
      </c>
      <c r="E29" s="5" t="s">
        <v>479</v>
      </c>
      <c r="F29" s="5" t="s">
        <v>480</v>
      </c>
      <c r="G29" s="29">
        <v>6</v>
      </c>
      <c r="H29" s="5" t="s">
        <v>878</v>
      </c>
      <c r="I29" s="5" t="s">
        <v>879</v>
      </c>
      <c r="J29" s="6" t="s">
        <v>475</v>
      </c>
      <c r="K29" s="5" t="s">
        <v>415</v>
      </c>
    </row>
    <row r="30" ht="33.2" customHeight="1" spans="2:11" x14ac:dyDescent="0.25">
      <c r="B30" s="4" t="s">
        <v>880</v>
      </c>
      <c r="C30" s="6" t="s">
        <v>145</v>
      </c>
      <c r="D30" s="5" t="s">
        <v>881</v>
      </c>
      <c r="E30" s="5" t="s">
        <v>489</v>
      </c>
      <c r="F30" s="5" t="s">
        <v>479</v>
      </c>
      <c r="G30" s="29">
        <v>6</v>
      </c>
      <c r="H30" s="5" t="s">
        <v>876</v>
      </c>
      <c r="I30" s="5" t="s">
        <v>882</v>
      </c>
      <c r="J30" s="6" t="s">
        <v>475</v>
      </c>
      <c r="K30" s="5" t="s">
        <v>415</v>
      </c>
    </row>
    <row r="31" ht="33.2" customHeight="1" spans="2:11" x14ac:dyDescent="0.25">
      <c r="B31" s="4" t="s">
        <v>883</v>
      </c>
      <c r="C31" s="6" t="s">
        <v>145</v>
      </c>
      <c r="D31" s="5" t="s">
        <v>884</v>
      </c>
      <c r="E31" s="5" t="s">
        <v>485</v>
      </c>
      <c r="F31" s="5" t="s">
        <v>489</v>
      </c>
      <c r="G31" s="29">
        <v>4</v>
      </c>
      <c r="H31" s="5" t="s">
        <v>885</v>
      </c>
      <c r="I31" s="5" t="s">
        <v>886</v>
      </c>
      <c r="J31" s="6" t="s">
        <v>475</v>
      </c>
      <c r="K31" s="5" t="s">
        <v>415</v>
      </c>
    </row>
    <row r="32" ht="22" customHeight="1" spans="2:11" x14ac:dyDescent="0.25">
      <c r="B32" s="4" t="s">
        <v>887</v>
      </c>
      <c r="C32" s="6" t="s">
        <v>145</v>
      </c>
      <c r="D32" s="5" t="s">
        <v>888</v>
      </c>
      <c r="E32" s="5" t="s">
        <v>472</v>
      </c>
      <c r="F32" s="5" t="s">
        <v>489</v>
      </c>
      <c r="G32" s="29">
        <v>4</v>
      </c>
      <c r="H32" s="5" t="s">
        <v>889</v>
      </c>
      <c r="I32" s="5" t="s">
        <v>890</v>
      </c>
      <c r="J32" s="6" t="s">
        <v>475</v>
      </c>
      <c r="K32" s="5" t="s">
        <v>415</v>
      </c>
    </row>
    <row r="33" ht="45.8" customHeight="1" spans="2:11" x14ac:dyDescent="0.25">
      <c r="B33" s="4" t="s">
        <v>891</v>
      </c>
      <c r="C33" s="6" t="s">
        <v>152</v>
      </c>
      <c r="D33" s="5" t="s">
        <v>892</v>
      </c>
      <c r="E33" s="5" t="s">
        <v>480</v>
      </c>
      <c r="F33" s="5" t="s">
        <v>479</v>
      </c>
      <c r="G33" s="29">
        <v>4</v>
      </c>
      <c r="H33" s="5" t="s">
        <v>893</v>
      </c>
      <c r="I33" s="5" t="s">
        <v>894</v>
      </c>
      <c r="J33" s="6" t="s">
        <v>475</v>
      </c>
      <c r="K33" s="5" t="s">
        <v>415</v>
      </c>
    </row>
    <row r="34" ht="33.2" customHeight="1" spans="2:11" x14ac:dyDescent="0.25">
      <c r="B34" s="4" t="s">
        <v>895</v>
      </c>
      <c r="C34" s="6" t="s">
        <v>152</v>
      </c>
      <c r="D34" s="5" t="s">
        <v>896</v>
      </c>
      <c r="E34" s="5" t="s">
        <v>489</v>
      </c>
      <c r="F34" s="5" t="s">
        <v>480</v>
      </c>
      <c r="G34" s="29">
        <v>4</v>
      </c>
      <c r="H34" s="5" t="s">
        <v>891</v>
      </c>
      <c r="I34" s="5" t="s">
        <v>897</v>
      </c>
      <c r="J34" s="6" t="s">
        <v>475</v>
      </c>
      <c r="K34" s="5" t="s">
        <v>415</v>
      </c>
    </row>
    <row r="35" ht="22" customHeight="1" spans="2:11" x14ac:dyDescent="0.25">
      <c r="B35" s="4" t="s">
        <v>898</v>
      </c>
      <c r="C35" s="6" t="s">
        <v>152</v>
      </c>
      <c r="D35" s="5" t="s">
        <v>899</v>
      </c>
      <c r="E35" s="5" t="s">
        <v>473</v>
      </c>
      <c r="F35" s="5" t="s">
        <v>480</v>
      </c>
      <c r="G35" s="29">
        <v>3</v>
      </c>
      <c r="H35" s="5" t="s">
        <v>895</v>
      </c>
      <c r="I35" s="5" t="s">
        <v>900</v>
      </c>
      <c r="J35" s="6" t="s">
        <v>475</v>
      </c>
      <c r="K35" s="5" t="s">
        <v>415</v>
      </c>
    </row>
    <row r="36" ht="33.2" customHeight="1" spans="2:11" x14ac:dyDescent="0.25">
      <c r="B36" s="4" t="s">
        <v>901</v>
      </c>
      <c r="C36" s="6" t="s">
        <v>159</v>
      </c>
      <c r="D36" s="5" t="s">
        <v>902</v>
      </c>
      <c r="E36" s="5" t="s">
        <v>479</v>
      </c>
      <c r="F36" s="5" t="s">
        <v>480</v>
      </c>
      <c r="G36" s="29">
        <v>6</v>
      </c>
      <c r="H36" s="5" t="s">
        <v>903</v>
      </c>
      <c r="I36" s="5" t="s">
        <v>904</v>
      </c>
      <c r="J36" s="6" t="s">
        <v>475</v>
      </c>
      <c r="K36" s="5" t="s">
        <v>415</v>
      </c>
    </row>
    <row r="37" ht="22" customHeight="1" spans="2:11" x14ac:dyDescent="0.25">
      <c r="B37" s="4" t="s">
        <v>905</v>
      </c>
      <c r="C37" s="6" t="s">
        <v>159</v>
      </c>
      <c r="D37" s="5" t="s">
        <v>906</v>
      </c>
      <c r="E37" s="5" t="s">
        <v>480</v>
      </c>
      <c r="F37" s="5" t="s">
        <v>489</v>
      </c>
      <c r="G37" s="29">
        <v>6</v>
      </c>
      <c r="H37" s="5" t="s">
        <v>901</v>
      </c>
      <c r="I37" s="5" t="s">
        <v>907</v>
      </c>
      <c r="J37" s="6" t="s">
        <v>475</v>
      </c>
      <c r="K37" s="5" t="s">
        <v>415</v>
      </c>
    </row>
    <row r="38" ht="33.2" customHeight="1" spans="2:11" x14ac:dyDescent="0.25">
      <c r="B38" s="4" t="s">
        <v>908</v>
      </c>
      <c r="C38" s="6" t="s">
        <v>159</v>
      </c>
      <c r="D38" s="5" t="s">
        <v>909</v>
      </c>
      <c r="E38" s="5" t="s">
        <v>485</v>
      </c>
      <c r="F38" s="5" t="s">
        <v>473</v>
      </c>
      <c r="G38" s="29">
        <v>3</v>
      </c>
      <c r="H38" s="5" t="s">
        <v>905</v>
      </c>
      <c r="I38" s="5" t="s">
        <v>910</v>
      </c>
      <c r="J38" s="6" t="s">
        <v>475</v>
      </c>
      <c r="K38" s="5" t="s">
        <v>415</v>
      </c>
    </row>
    <row r="39" ht="22" customHeight="1" spans="2:11" x14ac:dyDescent="0.25">
      <c r="B39" s="4" t="s">
        <v>911</v>
      </c>
      <c r="C39" s="6" t="s">
        <v>159</v>
      </c>
      <c r="D39" s="5" t="s">
        <v>912</v>
      </c>
      <c r="E39" s="5" t="s">
        <v>472</v>
      </c>
      <c r="F39" s="5" t="s">
        <v>479</v>
      </c>
      <c r="G39" s="29">
        <v>3</v>
      </c>
      <c r="H39" s="5" t="s">
        <v>905</v>
      </c>
      <c r="I39" s="5" t="s">
        <v>913</v>
      </c>
      <c r="J39" s="6" t="s">
        <v>475</v>
      </c>
      <c r="K39" s="5" t="s">
        <v>415</v>
      </c>
    </row>
    <row r="40" ht="33.2" customHeight="1" spans="2:11" x14ac:dyDescent="0.25">
      <c r="B40" s="4" t="s">
        <v>914</v>
      </c>
      <c r="C40" s="6" t="s">
        <v>164</v>
      </c>
      <c r="D40" s="5" t="s">
        <v>915</v>
      </c>
      <c r="E40" s="5" t="s">
        <v>485</v>
      </c>
      <c r="F40" s="5" t="s">
        <v>489</v>
      </c>
      <c r="G40" s="29">
        <v>4</v>
      </c>
      <c r="H40" s="5" t="s">
        <v>916</v>
      </c>
      <c r="I40" s="5" t="s">
        <v>917</v>
      </c>
      <c r="J40" s="6" t="s">
        <v>475</v>
      </c>
      <c r="K40" s="5" t="s">
        <v>415</v>
      </c>
    </row>
    <row r="41" ht="22" customHeight="1" spans="2:11" x14ac:dyDescent="0.25">
      <c r="B41" s="4" t="s">
        <v>918</v>
      </c>
      <c r="C41" s="6" t="s">
        <v>164</v>
      </c>
      <c r="D41" s="5" t="s">
        <v>919</v>
      </c>
      <c r="E41" s="5" t="s">
        <v>489</v>
      </c>
      <c r="F41" s="5" t="s">
        <v>485</v>
      </c>
      <c r="G41" s="29">
        <v>4</v>
      </c>
      <c r="H41" s="5" t="s">
        <v>914</v>
      </c>
      <c r="I41" s="5" t="s">
        <v>920</v>
      </c>
      <c r="J41" s="6" t="s">
        <v>475</v>
      </c>
      <c r="K41" s="5" t="s">
        <v>415</v>
      </c>
    </row>
    <row r="42" ht="22" customHeight="1" spans="2:11" x14ac:dyDescent="0.25">
      <c r="B42" s="4" t="s">
        <v>921</v>
      </c>
      <c r="C42" s="6" t="s">
        <v>164</v>
      </c>
      <c r="D42" s="5" t="s">
        <v>922</v>
      </c>
      <c r="E42" s="5" t="s">
        <v>473</v>
      </c>
      <c r="F42" s="5" t="s">
        <v>472</v>
      </c>
      <c r="G42" s="29">
        <v>2</v>
      </c>
      <c r="H42" s="5" t="s">
        <v>918</v>
      </c>
      <c r="I42" s="5" t="s">
        <v>923</v>
      </c>
      <c r="J42" s="6" t="s">
        <v>475</v>
      </c>
      <c r="K42" s="5" t="s">
        <v>415</v>
      </c>
    </row>
    <row r="43" ht="33.2" customHeight="1" spans="2:11" x14ac:dyDescent="0.25">
      <c r="B43" s="4" t="s">
        <v>924</v>
      </c>
      <c r="C43" s="6" t="s">
        <v>212</v>
      </c>
      <c r="D43" s="5" t="s">
        <v>925</v>
      </c>
      <c r="E43" s="5" t="s">
        <v>479</v>
      </c>
      <c r="F43" s="5" t="s">
        <v>485</v>
      </c>
      <c r="G43" s="29">
        <v>4</v>
      </c>
      <c r="H43" s="5" t="s">
        <v>926</v>
      </c>
      <c r="I43" s="5" t="s">
        <v>927</v>
      </c>
      <c r="J43" s="6" t="s">
        <v>475</v>
      </c>
      <c r="K43" s="5" t="s">
        <v>415</v>
      </c>
    </row>
    <row r="44" ht="22" customHeight="1" spans="2:11" x14ac:dyDescent="0.25">
      <c r="B44" s="4" t="s">
        <v>928</v>
      </c>
      <c r="C44" s="6" t="s">
        <v>212</v>
      </c>
      <c r="D44" s="5" t="s">
        <v>929</v>
      </c>
      <c r="E44" s="5" t="s">
        <v>480</v>
      </c>
      <c r="F44" s="5" t="s">
        <v>479</v>
      </c>
      <c r="G44" s="29">
        <v>3</v>
      </c>
      <c r="H44" s="5" t="s">
        <v>924</v>
      </c>
      <c r="I44" s="5" t="s">
        <v>930</v>
      </c>
      <c r="J44" s="6" t="s">
        <v>475</v>
      </c>
      <c r="K44" s="5" t="s">
        <v>415</v>
      </c>
    </row>
    <row r="45" ht="22" customHeight="1" spans="2:11" x14ac:dyDescent="0.25">
      <c r="B45" s="4" t="s">
        <v>931</v>
      </c>
      <c r="C45" s="6" t="s">
        <v>212</v>
      </c>
      <c r="D45" s="5" t="s">
        <v>932</v>
      </c>
      <c r="E45" s="5" t="s">
        <v>472</v>
      </c>
      <c r="F45" s="5" t="s">
        <v>489</v>
      </c>
      <c r="G45" s="29">
        <v>2</v>
      </c>
      <c r="H45" s="5" t="s">
        <v>928</v>
      </c>
      <c r="I45" s="5" t="s">
        <v>933</v>
      </c>
      <c r="J45" s="6" t="s">
        <v>475</v>
      </c>
      <c r="K45" s="5" t="s">
        <v>415</v>
      </c>
    </row>
    <row r="46" ht="33.2" customHeight="1" spans="2:11" x14ac:dyDescent="0.25">
      <c r="B46" s="4" t="s">
        <v>934</v>
      </c>
      <c r="C46" s="6" t="s">
        <v>402</v>
      </c>
      <c r="D46" s="5" t="s">
        <v>935</v>
      </c>
      <c r="E46" s="5" t="s">
        <v>480</v>
      </c>
      <c r="F46" s="5" t="s">
        <v>479</v>
      </c>
      <c r="G46" s="29">
        <v>6</v>
      </c>
      <c r="H46" s="5" t="s">
        <v>936</v>
      </c>
      <c r="I46" s="5" t="s">
        <v>937</v>
      </c>
      <c r="J46" s="6" t="s">
        <v>475</v>
      </c>
      <c r="K46" s="5" t="s">
        <v>938</v>
      </c>
    </row>
    <row r="47" ht="45.8" customHeight="1" spans="2:11" x14ac:dyDescent="0.25">
      <c r="B47" s="4" t="s">
        <v>939</v>
      </c>
      <c r="C47" s="6" t="s">
        <v>402</v>
      </c>
      <c r="D47" s="5" t="s">
        <v>940</v>
      </c>
      <c r="E47" s="5" t="s">
        <v>485</v>
      </c>
      <c r="F47" s="5" t="s">
        <v>480</v>
      </c>
      <c r="G47" s="29">
        <v>6</v>
      </c>
      <c r="H47" s="5" t="s">
        <v>934</v>
      </c>
      <c r="I47" s="5" t="s">
        <v>941</v>
      </c>
      <c r="J47" s="6" t="s">
        <v>475</v>
      </c>
      <c r="K47" s="5" t="s">
        <v>415</v>
      </c>
    </row>
    <row r="48" ht="33.2" customHeight="1" spans="2:11" x14ac:dyDescent="0.25">
      <c r="B48" s="4" t="s">
        <v>942</v>
      </c>
      <c r="C48" s="6" t="s">
        <v>402</v>
      </c>
      <c r="D48" s="5" t="s">
        <v>943</v>
      </c>
      <c r="E48" s="5" t="s">
        <v>489</v>
      </c>
      <c r="F48" s="5" t="s">
        <v>485</v>
      </c>
      <c r="G48" s="29">
        <v>4</v>
      </c>
      <c r="H48" s="5" t="s">
        <v>934</v>
      </c>
      <c r="I48" s="5" t="s">
        <v>944</v>
      </c>
      <c r="J48" s="6" t="s">
        <v>475</v>
      </c>
      <c r="K48" s="5" t="s">
        <v>415</v>
      </c>
    </row>
    <row r="49" ht="45.8" customHeight="1" spans="2:11" x14ac:dyDescent="0.25">
      <c r="B49" s="4" t="s">
        <v>945</v>
      </c>
      <c r="C49" s="6" t="s">
        <v>402</v>
      </c>
      <c r="D49" s="5" t="s">
        <v>946</v>
      </c>
      <c r="E49" s="5" t="s">
        <v>472</v>
      </c>
      <c r="F49" s="5" t="s">
        <v>489</v>
      </c>
      <c r="G49" s="29">
        <v>4</v>
      </c>
      <c r="H49" s="5" t="s">
        <v>947</v>
      </c>
      <c r="I49" s="5" t="s">
        <v>948</v>
      </c>
      <c r="J49" s="6" t="s">
        <v>475</v>
      </c>
      <c r="K49" s="5" t="s">
        <v>415</v>
      </c>
    </row>
    <row r="50" ht="33.2" customHeight="1" spans="2:11" x14ac:dyDescent="0.25">
      <c r="B50" s="4" t="s">
        <v>949</v>
      </c>
      <c r="C50" s="6" t="s">
        <v>393</v>
      </c>
      <c r="D50" s="5" t="s">
        <v>950</v>
      </c>
      <c r="E50" s="5" t="s">
        <v>479</v>
      </c>
      <c r="F50" s="5" t="s">
        <v>485</v>
      </c>
      <c r="G50" s="29">
        <v>4</v>
      </c>
      <c r="H50" s="5" t="s">
        <v>951</v>
      </c>
      <c r="I50" s="5" t="s">
        <v>952</v>
      </c>
      <c r="J50" s="6" t="s">
        <v>475</v>
      </c>
      <c r="K50" s="5" t="s">
        <v>953</v>
      </c>
    </row>
    <row r="51" ht="33.2" customHeight="1" spans="2:11" x14ac:dyDescent="0.25">
      <c r="B51" s="4" t="s">
        <v>954</v>
      </c>
      <c r="C51" s="6" t="s">
        <v>393</v>
      </c>
      <c r="D51" s="5" t="s">
        <v>955</v>
      </c>
      <c r="E51" s="5" t="s">
        <v>489</v>
      </c>
      <c r="F51" s="5" t="s">
        <v>479</v>
      </c>
      <c r="G51" s="29">
        <v>4</v>
      </c>
      <c r="H51" s="5" t="s">
        <v>956</v>
      </c>
      <c r="I51" s="5" t="s">
        <v>957</v>
      </c>
      <c r="J51" s="6" t="s">
        <v>475</v>
      </c>
      <c r="K51" s="5" t="s">
        <v>415</v>
      </c>
    </row>
    <row r="52" ht="45.8" customHeight="1" spans="2:11" x14ac:dyDescent="0.25">
      <c r="B52" s="4" t="s">
        <v>958</v>
      </c>
      <c r="C52" s="6" t="s">
        <v>393</v>
      </c>
      <c r="D52" s="5" t="s">
        <v>959</v>
      </c>
      <c r="E52" s="5" t="s">
        <v>473</v>
      </c>
      <c r="F52" s="5" t="s">
        <v>480</v>
      </c>
      <c r="G52" s="29">
        <v>3</v>
      </c>
      <c r="H52" s="5" t="s">
        <v>954</v>
      </c>
      <c r="I52" s="5" t="s">
        <v>960</v>
      </c>
      <c r="J52" s="6" t="s">
        <v>475</v>
      </c>
      <c r="K52" s="5" t="s">
        <v>961</v>
      </c>
    </row>
    <row r="53" ht="33.2" customHeight="1" spans="2:11" x14ac:dyDescent="0.25">
      <c r="B53" s="4" t="s">
        <v>962</v>
      </c>
      <c r="C53" s="6" t="s">
        <v>406</v>
      </c>
      <c r="D53" s="5" t="s">
        <v>963</v>
      </c>
      <c r="E53" s="5" t="s">
        <v>485</v>
      </c>
      <c r="F53" s="5" t="s">
        <v>479</v>
      </c>
      <c r="G53" s="29">
        <v>4</v>
      </c>
      <c r="H53" s="5" t="s">
        <v>415</v>
      </c>
      <c r="I53" s="5" t="s">
        <v>964</v>
      </c>
      <c r="J53" s="6" t="s">
        <v>475</v>
      </c>
      <c r="K53" s="5" t="s">
        <v>965</v>
      </c>
    </row>
    <row r="54" ht="33.2" customHeight="1" spans="2:11" x14ac:dyDescent="0.25">
      <c r="B54" s="4" t="s">
        <v>966</v>
      </c>
      <c r="C54" s="6" t="s">
        <v>406</v>
      </c>
      <c r="D54" s="5" t="s">
        <v>967</v>
      </c>
      <c r="E54" s="5" t="s">
        <v>480</v>
      </c>
      <c r="F54" s="5" t="s">
        <v>485</v>
      </c>
      <c r="G54" s="29">
        <v>3</v>
      </c>
      <c r="H54" s="5" t="s">
        <v>968</v>
      </c>
      <c r="I54" s="5" t="s">
        <v>969</v>
      </c>
      <c r="J54" s="6" t="s">
        <v>475</v>
      </c>
      <c r="K54" s="5" t="s">
        <v>415</v>
      </c>
    </row>
    <row r="55" ht="33.2" customHeight="1" spans="2:11" x14ac:dyDescent="0.25">
      <c r="B55" s="4" t="s">
        <v>970</v>
      </c>
      <c r="C55" s="6" t="s">
        <v>406</v>
      </c>
      <c r="D55" s="5" t="s">
        <v>971</v>
      </c>
      <c r="E55" s="5" t="s">
        <v>472</v>
      </c>
      <c r="F55" s="5" t="s">
        <v>479</v>
      </c>
      <c r="G55" s="29">
        <v>3</v>
      </c>
      <c r="H55" s="5" t="s">
        <v>966</v>
      </c>
      <c r="I55" s="5" t="s">
        <v>972</v>
      </c>
      <c r="J55" s="6" t="s">
        <v>475</v>
      </c>
      <c r="K55" s="5" t="s">
        <v>415</v>
      </c>
    </row>
    <row r="56" ht="33.2" customHeight="1" spans="2:11" x14ac:dyDescent="0.25">
      <c r="B56" s="4" t="s">
        <v>973</v>
      </c>
      <c r="C56" s="6" t="s">
        <v>410</v>
      </c>
      <c r="D56" s="5" t="s">
        <v>974</v>
      </c>
      <c r="E56" s="5" t="s">
        <v>473</v>
      </c>
      <c r="F56" s="5" t="s">
        <v>472</v>
      </c>
      <c r="G56" s="29">
        <v>4</v>
      </c>
      <c r="H56" s="5" t="s">
        <v>975</v>
      </c>
      <c r="I56" s="5" t="s">
        <v>976</v>
      </c>
      <c r="J56" s="6" t="s">
        <v>475</v>
      </c>
      <c r="K56" s="5" t="s">
        <v>415</v>
      </c>
    </row>
    <row r="57" ht="22" customHeight="1" spans="2:11" x14ac:dyDescent="0.25">
      <c r="B57" s="4" t="s">
        <v>977</v>
      </c>
      <c r="C57" s="6" t="s">
        <v>410</v>
      </c>
      <c r="D57" s="5" t="s">
        <v>978</v>
      </c>
      <c r="E57" s="5" t="s">
        <v>479</v>
      </c>
      <c r="F57" s="5" t="s">
        <v>489</v>
      </c>
      <c r="G57" s="29">
        <v>6</v>
      </c>
      <c r="H57" s="5" t="s">
        <v>973</v>
      </c>
      <c r="I57" s="5" t="s">
        <v>979</v>
      </c>
      <c r="J57" s="6" t="s">
        <v>475</v>
      </c>
      <c r="K57" s="5" t="s">
        <v>415</v>
      </c>
    </row>
    <row r="58" ht="33.2" customHeight="1" spans="2:11" x14ac:dyDescent="0.25">
      <c r="B58" s="4" t="s">
        <v>980</v>
      </c>
      <c r="C58" s="6" t="s">
        <v>410</v>
      </c>
      <c r="D58" s="5" t="s">
        <v>981</v>
      </c>
      <c r="E58" s="5" t="s">
        <v>472</v>
      </c>
      <c r="F58" s="5" t="s">
        <v>473</v>
      </c>
      <c r="G58" s="29">
        <v>3</v>
      </c>
      <c r="H58" s="5" t="s">
        <v>977</v>
      </c>
      <c r="I58" s="5" t="s">
        <v>982</v>
      </c>
      <c r="J58" s="6" t="s">
        <v>475</v>
      </c>
      <c r="K58" s="5" t="s">
        <v>983</v>
      </c>
    </row>
    <row r="59" ht="45.8" customHeight="1" spans="2:11" x14ac:dyDescent="0.25">
      <c r="B59" s="4" t="s">
        <v>984</v>
      </c>
      <c r="C59" s="6" t="s">
        <v>415</v>
      </c>
      <c r="D59" s="5" t="s">
        <v>985</v>
      </c>
      <c r="E59" s="5" t="s">
        <v>473</v>
      </c>
      <c r="F59" s="5" t="s">
        <v>472</v>
      </c>
      <c r="G59" s="29">
        <v>4</v>
      </c>
      <c r="H59" s="5" t="s">
        <v>977</v>
      </c>
      <c r="I59" s="5" t="s">
        <v>986</v>
      </c>
      <c r="J59" s="6" t="s">
        <v>475</v>
      </c>
      <c r="K59" s="5" t="s">
        <v>987</v>
      </c>
    </row>
    <row r="60" ht="45.8" customHeight="1" spans="2:11" x14ac:dyDescent="0.25">
      <c r="B60" s="4" t="s">
        <v>988</v>
      </c>
      <c r="C60" s="6" t="s">
        <v>415</v>
      </c>
      <c r="D60" s="5" t="s">
        <v>989</v>
      </c>
      <c r="E60" s="5" t="s">
        <v>472</v>
      </c>
      <c r="F60" s="5" t="s">
        <v>485</v>
      </c>
      <c r="G60" s="29">
        <v>4</v>
      </c>
      <c r="H60" s="5" t="s">
        <v>977</v>
      </c>
      <c r="I60" s="5" t="s">
        <v>986</v>
      </c>
      <c r="J60" s="6" t="s">
        <v>475</v>
      </c>
      <c r="K60" s="5" t="s">
        <v>987</v>
      </c>
    </row>
    <row r="61" ht="33.2" customHeight="1" spans="2:11" x14ac:dyDescent="0.25">
      <c r="B61" s="4" t="s">
        <v>990</v>
      </c>
      <c r="C61" s="6" t="s">
        <v>415</v>
      </c>
      <c r="D61" s="5" t="s">
        <v>991</v>
      </c>
      <c r="E61" s="5" t="s">
        <v>485</v>
      </c>
      <c r="F61" s="5" t="s">
        <v>473</v>
      </c>
      <c r="G61" s="29">
        <v>4</v>
      </c>
      <c r="H61" s="5" t="s">
        <v>992</v>
      </c>
      <c r="I61" s="5" t="s">
        <v>986</v>
      </c>
      <c r="J61" s="6" t="s">
        <v>475</v>
      </c>
      <c r="K61" s="5" t="s">
        <v>987</v>
      </c>
    </row>
    <row r="62" ht="33.2" customHeight="1" spans="2:11" x14ac:dyDescent="0.25">
      <c r="B62" s="4" t="s">
        <v>993</v>
      </c>
      <c r="C62" s="6" t="s">
        <v>415</v>
      </c>
      <c r="D62" s="5" t="s">
        <v>994</v>
      </c>
      <c r="E62" s="5" t="s">
        <v>479</v>
      </c>
      <c r="F62" s="5" t="s">
        <v>480</v>
      </c>
      <c r="G62" s="29">
        <v>4</v>
      </c>
      <c r="H62" s="5" t="s">
        <v>977</v>
      </c>
      <c r="I62" s="5" t="s">
        <v>995</v>
      </c>
      <c r="J62" s="6" t="s">
        <v>475</v>
      </c>
      <c r="K62" s="5" t="s">
        <v>996</v>
      </c>
    </row>
    <row r="63" ht="33.2" customHeight="1" spans="2:11" x14ac:dyDescent="0.25">
      <c r="B63" s="4" t="s">
        <v>997</v>
      </c>
      <c r="C63" s="6" t="s">
        <v>415</v>
      </c>
      <c r="D63" s="5" t="s">
        <v>998</v>
      </c>
      <c r="E63" s="5" t="s">
        <v>480</v>
      </c>
      <c r="F63" s="5" t="s">
        <v>479</v>
      </c>
      <c r="G63" s="29">
        <v>4</v>
      </c>
      <c r="H63" s="5" t="s">
        <v>984</v>
      </c>
      <c r="I63" s="5" t="s">
        <v>660</v>
      </c>
      <c r="J63" s="6" t="s">
        <v>475</v>
      </c>
      <c r="K63" s="5" t="s">
        <v>987</v>
      </c>
    </row>
    <row r="64" ht="33.2" customHeight="1" spans="2:11" x14ac:dyDescent="0.25">
      <c r="B64" s="4" t="s">
        <v>999</v>
      </c>
      <c r="C64" s="6" t="s">
        <v>415</v>
      </c>
      <c r="D64" s="5" t="s">
        <v>1000</v>
      </c>
      <c r="E64" s="5" t="s">
        <v>485</v>
      </c>
      <c r="F64" s="5" t="s">
        <v>479</v>
      </c>
      <c r="G64" s="29">
        <v>6</v>
      </c>
      <c r="H64" s="5" t="s">
        <v>988</v>
      </c>
      <c r="I64" s="5" t="s">
        <v>660</v>
      </c>
      <c r="J64" s="6" t="s">
        <v>475</v>
      </c>
      <c r="K64" s="5" t="s">
        <v>987</v>
      </c>
    </row>
    <row r="65" ht="33.2" customHeight="1" spans="2:11" x14ac:dyDescent="0.25">
      <c r="B65" s="4" t="s">
        <v>1001</v>
      </c>
      <c r="C65" s="6" t="s">
        <v>415</v>
      </c>
      <c r="D65" s="5" t="s">
        <v>1002</v>
      </c>
      <c r="E65" s="5" t="s">
        <v>489</v>
      </c>
      <c r="F65" s="5" t="s">
        <v>480</v>
      </c>
      <c r="G65" s="29">
        <v>6</v>
      </c>
      <c r="H65" s="5" t="s">
        <v>1003</v>
      </c>
      <c r="I65" s="5" t="s">
        <v>660</v>
      </c>
      <c r="J65" s="6" t="s">
        <v>475</v>
      </c>
      <c r="K65" s="5" t="s">
        <v>987</v>
      </c>
    </row>
    <row r="66" ht="33.2" customHeight="1" spans="2:11" x14ac:dyDescent="0.25">
      <c r="B66" s="4" t="s">
        <v>1004</v>
      </c>
      <c r="C66" s="6" t="s">
        <v>415</v>
      </c>
      <c r="D66" s="5" t="s">
        <v>1005</v>
      </c>
      <c r="E66" s="5" t="s">
        <v>473</v>
      </c>
      <c r="F66" s="5" t="s">
        <v>472</v>
      </c>
      <c r="G66" s="29">
        <v>6</v>
      </c>
      <c r="H66" s="5" t="s">
        <v>977</v>
      </c>
      <c r="I66" s="5" t="s">
        <v>1006</v>
      </c>
      <c r="J66" s="6" t="s">
        <v>475</v>
      </c>
      <c r="K66" s="5" t="s">
        <v>1007</v>
      </c>
    </row>
    <row r="67" ht="45.8" customHeight="1" spans="2:11" x14ac:dyDescent="0.25">
      <c r="B67" s="4" t="s">
        <v>1008</v>
      </c>
      <c r="C67" s="6" t="s">
        <v>415</v>
      </c>
      <c r="D67" s="5" t="s">
        <v>1009</v>
      </c>
      <c r="E67" s="5" t="s">
        <v>479</v>
      </c>
      <c r="F67" s="5" t="s">
        <v>472</v>
      </c>
      <c r="G67" s="29">
        <v>4</v>
      </c>
      <c r="H67" s="5" t="s">
        <v>1010</v>
      </c>
      <c r="I67" s="5" t="s">
        <v>1011</v>
      </c>
      <c r="J67" s="6" t="s">
        <v>475</v>
      </c>
      <c r="K67" s="5" t="s">
        <v>1007</v>
      </c>
    </row>
    <row r="68" ht="33.2" customHeight="1" spans="2:11" x14ac:dyDescent="0.25">
      <c r="B68" s="4" t="s">
        <v>1012</v>
      </c>
      <c r="C68" s="6" t="s">
        <v>415</v>
      </c>
      <c r="D68" s="5" t="s">
        <v>1013</v>
      </c>
      <c r="E68" s="5" t="s">
        <v>472</v>
      </c>
      <c r="F68" s="5" t="s">
        <v>473</v>
      </c>
      <c r="G68" s="29">
        <v>3</v>
      </c>
      <c r="H68" s="5" t="s">
        <v>1014</v>
      </c>
      <c r="I68" s="5" t="s">
        <v>1015</v>
      </c>
      <c r="J68" s="6" t="s">
        <v>475</v>
      </c>
      <c r="K68" s="5" t="s">
        <v>1007</v>
      </c>
    </row>
    <row r="69" ht="33.2" customHeight="1" spans="2:11" x14ac:dyDescent="0.25">
      <c r="B69" s="4" t="s">
        <v>1016</v>
      </c>
      <c r="C69" s="6" t="s">
        <v>415</v>
      </c>
      <c r="D69" s="5" t="s">
        <v>1017</v>
      </c>
      <c r="E69" s="5" t="s">
        <v>473</v>
      </c>
      <c r="F69" s="5" t="s">
        <v>472</v>
      </c>
      <c r="G69" s="29">
        <v>3</v>
      </c>
      <c r="H69" s="5" t="s">
        <v>1014</v>
      </c>
      <c r="I69" s="5" t="s">
        <v>1018</v>
      </c>
      <c r="J69" s="6" t="s">
        <v>475</v>
      </c>
      <c r="K69" s="5" t="s">
        <v>1007</v>
      </c>
    </row>
    <row r="70" ht="33.2" customHeight="1" spans="2:11" x14ac:dyDescent="0.25">
      <c r="B70" s="4" t="s">
        <v>1019</v>
      </c>
      <c r="C70" s="6" t="s">
        <v>1020</v>
      </c>
      <c r="D70" s="5" t="s">
        <v>1021</v>
      </c>
      <c r="E70" s="5" t="s">
        <v>473</v>
      </c>
      <c r="F70" s="5" t="s">
        <v>472</v>
      </c>
      <c r="G70" s="29">
        <v>3</v>
      </c>
      <c r="H70" s="5" t="s">
        <v>1022</v>
      </c>
      <c r="I70" s="5" t="s">
        <v>666</v>
      </c>
      <c r="J70" s="6" t="s">
        <v>475</v>
      </c>
      <c r="K70" s="5" t="s">
        <v>667</v>
      </c>
    </row>
    <row r="71" ht="33.2" customHeight="1" spans="2:11" x14ac:dyDescent="0.25">
      <c r="B71" s="4" t="s">
        <v>1023</v>
      </c>
      <c r="C71" s="6" t="s">
        <v>1024</v>
      </c>
      <c r="D71" s="5" t="s">
        <v>1025</v>
      </c>
      <c r="E71" s="5" t="s">
        <v>473</v>
      </c>
      <c r="F71" s="5" t="s">
        <v>472</v>
      </c>
      <c r="G71" s="29">
        <v>2</v>
      </c>
      <c r="H71" s="5" t="s">
        <v>1026</v>
      </c>
      <c r="I71" s="5" t="s">
        <v>666</v>
      </c>
      <c r="J71" s="6" t="s">
        <v>475</v>
      </c>
      <c r="K71" s="5" t="s">
        <v>667</v>
      </c>
    </row>
    <row r="72" ht="33.2" customHeight="1" spans="2:11" x14ac:dyDescent="0.25">
      <c r="B72" s="4" t="s">
        <v>1027</v>
      </c>
      <c r="C72" s="6" t="s">
        <v>1028</v>
      </c>
      <c r="D72" s="5" t="s">
        <v>1029</v>
      </c>
      <c r="E72" s="5" t="s">
        <v>473</v>
      </c>
      <c r="F72" s="5" t="s">
        <v>472</v>
      </c>
      <c r="G72" s="29">
        <v>3</v>
      </c>
      <c r="H72" s="5" t="s">
        <v>1030</v>
      </c>
      <c r="I72" s="5" t="s">
        <v>666</v>
      </c>
      <c r="J72" s="6" t="s">
        <v>475</v>
      </c>
      <c r="K72" s="5" t="s">
        <v>667</v>
      </c>
    </row>
    <row r="73" ht="33.2" customHeight="1" spans="2:11" x14ac:dyDescent="0.25">
      <c r="B73" s="4" t="s">
        <v>1031</v>
      </c>
      <c r="C73" s="6" t="s">
        <v>415</v>
      </c>
      <c r="D73" s="5" t="s">
        <v>1032</v>
      </c>
      <c r="E73" s="5" t="s">
        <v>472</v>
      </c>
      <c r="F73" s="5" t="s">
        <v>473</v>
      </c>
      <c r="G73" s="29">
        <v>3</v>
      </c>
      <c r="H73" s="5" t="s">
        <v>1033</v>
      </c>
      <c r="I73" s="5" t="s">
        <v>678</v>
      </c>
      <c r="J73" s="6" t="s">
        <v>475</v>
      </c>
      <c r="K73" s="5" t="s">
        <v>482</v>
      </c>
    </row>
  </sheetData>
  <autoFilter ref="B24:K73"/>
  <mergeCells count="29">
    <mergeCell ref="B1:K1"/>
    <mergeCell ref="B2:K2"/>
    <mergeCell ref="B3:C3"/>
    <mergeCell ref="D3:K3"/>
    <mergeCell ref="B4:C4"/>
    <mergeCell ref="D4:K4"/>
    <mergeCell ref="B5:C5"/>
    <mergeCell ref="D5:K5"/>
    <mergeCell ref="B6:C6"/>
    <mergeCell ref="D6:K6"/>
    <mergeCell ref="B7:C7"/>
    <mergeCell ref="D7:K7"/>
    <mergeCell ref="B8:C8"/>
    <mergeCell ref="D8:K8"/>
    <mergeCell ref="B9:C9"/>
    <mergeCell ref="D9:K9"/>
    <mergeCell ref="B10:K10"/>
    <mergeCell ref="F11:K11"/>
    <mergeCell ref="F12:K12"/>
    <mergeCell ref="F13:K13"/>
    <mergeCell ref="F14:K14"/>
    <mergeCell ref="F15:K15"/>
    <mergeCell ref="F16:K16"/>
    <mergeCell ref="F17:K17"/>
    <mergeCell ref="F18:K18"/>
    <mergeCell ref="F19:K19"/>
    <mergeCell ref="F20:K20"/>
    <mergeCell ref="F21:K21"/>
    <mergeCell ref="B23:K23"/>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6"/>
  <sheetViews>
    <sheetView workbookViewId="0" showGridLines="0" zoomScale="90" zoomScaleNormal="100"/>
  </sheetViews>
  <sheetFormatPr defaultRowHeight="15" outlineLevelRow="0" outlineLevelCol="0" x14ac:dyDescent="55"/>
  <cols>
    <col min="1" max="1" width="3.43" customWidth="1"/>
    <col min="2" max="2" width="20" customWidth="1"/>
    <col min="3" max="3" width="12" customWidth="1"/>
    <col min="4" max="4" width="14" customWidth="1"/>
    <col min="5" max="5" width="12" customWidth="1"/>
    <col min="6" max="6" width="14" customWidth="1"/>
    <col min="7" max="7" width="12" customWidth="1"/>
    <col min="8" max="8" width="14" customWidth="1"/>
    <col min="9" max="9" width="12" customWidth="1"/>
    <col min="10" max="10" width="14" customWidth="1"/>
    <col min="11" max="11" width="16" customWidth="1"/>
    <col min="12" max="13" width="14" customWidth="1"/>
  </cols>
  <sheetData>
    <row r="1" ht="40" customHeight="1" spans="2:13" x14ac:dyDescent="0.25">
      <c r="B1" s="26" t="s">
        <v>1034</v>
      </c>
      <c r="C1"/>
      <c r="D1"/>
      <c r="E1"/>
      <c r="F1"/>
      <c r="G1"/>
      <c r="H1"/>
      <c r="I1"/>
      <c r="J1"/>
      <c r="K1"/>
      <c r="L1"/>
      <c r="M1"/>
    </row>
    <row r="3" ht="34" customHeight="1" spans="2:13" x14ac:dyDescent="0.25">
      <c r="B3" s="3" t="s">
        <v>1035</v>
      </c>
      <c r="C3" s="3" t="s">
        <v>1036</v>
      </c>
      <c r="D3" s="3" t="s">
        <v>1037</v>
      </c>
      <c r="E3" s="3" t="s">
        <v>1038</v>
      </c>
      <c r="F3" s="3" t="s">
        <v>1039</v>
      </c>
      <c r="G3" s="3" t="s">
        <v>1040</v>
      </c>
      <c r="H3" s="3" t="s">
        <v>1041</v>
      </c>
      <c r="I3" s="3" t="s">
        <v>1042</v>
      </c>
      <c r="J3" s="3" t="s">
        <v>1043</v>
      </c>
      <c r="K3" s="3" t="s">
        <v>1044</v>
      </c>
      <c r="L3" s="3" t="s">
        <v>1045</v>
      </c>
      <c r="M3" s="3" t="s">
        <v>1046</v>
      </c>
    </row>
    <row r="4" ht="24" customHeight="1" spans="2:13" x14ac:dyDescent="0.25">
      <c r="B4" s="30" t="s">
        <v>472</v>
      </c>
      <c r="C4" s="31">
        <f>COUNTIF(Sprint_1!$E$26:$E$80,$B4)</f>
        <v>9</v>
      </c>
      <c r="D4" s="32">
        <f>SUMIF(Sprint_1!$E$26:$E$80,$B4,Sprint_1!$G$26:$G$80)</f>
        <v>26</v>
      </c>
      <c r="E4" s="31">
        <f>COUNTIF(Sprint_2!$E$25:$E$70,$B4)</f>
        <v>6</v>
      </c>
      <c r="F4" s="32">
        <f>SUMIF(Sprint_2!$E$25:$E$70,$B4,Sprint_2!$G$25:$G$70)</f>
        <v>19</v>
      </c>
      <c r="G4" s="31">
        <f>COUNTIF(Sprint_3!$E$25:$E$73,$B4)</f>
        <v>9</v>
      </c>
      <c r="H4" s="32">
        <f>SUMIF(Sprint_3!$E$25:$E$73,$B4,Sprint_3!$G$25:$G$73)</f>
        <v>29</v>
      </c>
      <c r="I4" s="31">
        <f>C4+E4+G4</f>
        <v>24</v>
      </c>
      <c r="J4" s="32">
        <f>D4+F4+H4</f>
        <v>74</v>
      </c>
      <c r="K4" s="33" t="s">
        <v>1047</v>
      </c>
      <c r="L4" s="34">
        <f>J4/$J$10</f>
        <v>0.1295971978984238</v>
      </c>
      <c r="M4" s="31">
        <f>COUNTIF(Sprint_1!$F$26:$F$80,$B4)+COUNTIF(Sprint_2!$F$25:$F$70,$B4)+COUNTIF(Sprint_3!$F$25:$F$73,$B4)</f>
        <v>25</v>
      </c>
    </row>
    <row r="5" ht="24" customHeight="1" spans="2:13" x14ac:dyDescent="0.25">
      <c r="B5" s="30" t="s">
        <v>473</v>
      </c>
      <c r="C5" s="31">
        <f>COUNTIF(Sprint_1!$E$26:$E$80,$B5)</f>
        <v>10</v>
      </c>
      <c r="D5" s="32">
        <f>SUMIF(Sprint_1!$E$26:$E$80,$B5,Sprint_1!$G$26:$G$80)</f>
        <v>28</v>
      </c>
      <c r="E5" s="31">
        <f>COUNTIF(Sprint_2!$E$25:$E$70,$B5)</f>
        <v>9</v>
      </c>
      <c r="F5" s="32">
        <f>SUMIF(Sprint_2!$E$25:$E$70,$B5,Sprint_2!$G$25:$G$70)</f>
        <v>22</v>
      </c>
      <c r="G5" s="31">
        <f>COUNTIF(Sprint_3!$E$25:$E$73,$B5)</f>
        <v>11</v>
      </c>
      <c r="H5" s="32">
        <f>SUMIF(Sprint_3!$E$25:$E$73,$B5,Sprint_3!$G$25:$G$73)</f>
        <v>36</v>
      </c>
      <c r="I5" s="31">
        <f>C5+E5+G5</f>
        <v>30</v>
      </c>
      <c r="J5" s="32">
        <f>D5+F5+H5</f>
        <v>86</v>
      </c>
      <c r="K5" s="33" t="s">
        <v>1048</v>
      </c>
      <c r="L5" s="34">
        <f>J5/$J$10</f>
        <v>0.15061295971978983</v>
      </c>
      <c r="M5" s="31">
        <f>COUNTIF(Sprint_1!$F$26:$F$80,$B5)+COUNTIF(Sprint_2!$F$25:$F$70,$B5)+COUNTIF(Sprint_3!$F$25:$F$73,$B5)</f>
        <v>12</v>
      </c>
    </row>
    <row r="6" ht="24" customHeight="1" spans="2:13" x14ac:dyDescent="0.25">
      <c r="B6" s="30" t="s">
        <v>479</v>
      </c>
      <c r="C6" s="31">
        <f>COUNTIF(Sprint_1!$E$26:$E$80,$B6)</f>
        <v>9</v>
      </c>
      <c r="D6" s="32">
        <f>SUMIF(Sprint_1!$E$26:$E$80,$B6,Sprint_1!$G$26:$G$80)</f>
        <v>46</v>
      </c>
      <c r="E6" s="31">
        <f>COUNTIF(Sprint_2!$E$25:$E$70,$B6)</f>
        <v>6</v>
      </c>
      <c r="F6" s="32">
        <f>SUMIF(Sprint_2!$E$25:$E$70,$B6,Sprint_2!$G$25:$G$70)</f>
        <v>29</v>
      </c>
      <c r="G6" s="31">
        <f>COUNTIF(Sprint_3!$E$25:$E$73,$B6)</f>
        <v>7</v>
      </c>
      <c r="H6" s="32">
        <f>SUMIF(Sprint_3!$E$25:$E$73,$B6,Sprint_3!$G$25:$G$73)</f>
        <v>34</v>
      </c>
      <c r="I6" s="31">
        <f>C6+E6+G6</f>
        <v>22</v>
      </c>
      <c r="J6" s="32">
        <f>D6+F6+H6</f>
        <v>109</v>
      </c>
      <c r="K6" s="33" t="s">
        <v>1049</v>
      </c>
      <c r="L6" s="34">
        <f>J6/$J$10</f>
        <v>0.19089316987740806</v>
      </c>
      <c r="M6" s="31">
        <f>COUNTIF(Sprint_1!$F$26:$F$80,$B6)+COUNTIF(Sprint_2!$F$25:$F$70,$B6)+COUNTIF(Sprint_3!$F$25:$F$73,$B6)</f>
        <v>33</v>
      </c>
    </row>
    <row r="7" ht="24" customHeight="1" spans="2:13" x14ac:dyDescent="0.25">
      <c r="B7" s="30" t="s">
        <v>480</v>
      </c>
      <c r="C7" s="31">
        <f>COUNTIF(Sprint_1!$E$26:$E$80,$B7)</f>
        <v>9</v>
      </c>
      <c r="D7" s="32">
        <f>SUMIF(Sprint_1!$E$26:$E$80,$B7,Sprint_1!$G$26:$G$80)</f>
        <v>33</v>
      </c>
      <c r="E7" s="31">
        <f>COUNTIF(Sprint_2!$E$25:$E$70,$B7)</f>
        <v>8</v>
      </c>
      <c r="F7" s="32">
        <f>SUMIF(Sprint_2!$E$25:$E$70,$B7,Sprint_2!$G$25:$G$70)</f>
        <v>33</v>
      </c>
      <c r="G7" s="31">
        <f>COUNTIF(Sprint_3!$E$25:$E$73,$B7)</f>
        <v>7</v>
      </c>
      <c r="H7" s="32">
        <f>SUMIF(Sprint_3!$E$25:$E$73,$B7,Sprint_3!$G$25:$G$73)</f>
        <v>30</v>
      </c>
      <c r="I7" s="31">
        <f>C7+E7+G7</f>
        <v>24</v>
      </c>
      <c r="J7" s="32">
        <f>D7+F7+H7</f>
        <v>96</v>
      </c>
      <c r="K7" s="33" t="s">
        <v>1049</v>
      </c>
      <c r="L7" s="34">
        <f>J7/$J$10</f>
        <v>0.1681260945709282</v>
      </c>
      <c r="M7" s="31">
        <f>COUNTIF(Sprint_1!$F$26:$F$80,$B7)+COUNTIF(Sprint_2!$F$25:$F$70,$B7)+COUNTIF(Sprint_3!$F$25:$F$73,$B7)</f>
        <v>31</v>
      </c>
    </row>
    <row r="8" ht="24" customHeight="1" spans="2:13" x14ac:dyDescent="0.25">
      <c r="B8" s="30" t="s">
        <v>485</v>
      </c>
      <c r="C8" s="31">
        <f>COUNTIF(Sprint_1!$E$26:$E$80,$B8)</f>
        <v>8</v>
      </c>
      <c r="D8" s="32">
        <f>SUMIF(Sprint_1!$E$26:$E$80,$B8,Sprint_1!$G$26:$G$80)</f>
        <v>29</v>
      </c>
      <c r="E8" s="31">
        <f>COUNTIF(Sprint_2!$E$25:$E$70,$B8)</f>
        <v>9</v>
      </c>
      <c r="F8" s="32">
        <f>SUMIF(Sprint_2!$E$25:$E$70,$B8,Sprint_2!$G$25:$G$70)</f>
        <v>35</v>
      </c>
      <c r="G8" s="31">
        <f>COUNTIF(Sprint_3!$E$25:$E$73,$B8)</f>
        <v>8</v>
      </c>
      <c r="H8" s="32">
        <f>SUMIF(Sprint_3!$E$25:$E$73,$B8,Sprint_3!$G$25:$G$73)</f>
        <v>34</v>
      </c>
      <c r="I8" s="31">
        <f>C8+E8+G8</f>
        <v>25</v>
      </c>
      <c r="J8" s="32">
        <f>D8+F8+H8</f>
        <v>98</v>
      </c>
      <c r="K8" s="33" t="s">
        <v>1049</v>
      </c>
      <c r="L8" s="34">
        <f>J8/$J$10</f>
        <v>0.17162872154115585</v>
      </c>
      <c r="M8" s="31">
        <f>COUNTIF(Sprint_1!$F$26:$F$80,$B8)+COUNTIF(Sprint_2!$F$25:$F$70,$B8)+COUNTIF(Sprint_3!$F$25:$F$73,$B8)</f>
        <v>31</v>
      </c>
    </row>
    <row r="9" ht="24" customHeight="1" spans="2:13" x14ac:dyDescent="0.25">
      <c r="B9" s="30" t="s">
        <v>489</v>
      </c>
      <c r="C9" s="31">
        <f>COUNTIF(Sprint_1!$E$26:$E$80,$B9)</f>
        <v>10</v>
      </c>
      <c r="D9" s="32">
        <f>SUMIF(Sprint_1!$E$26:$E$80,$B9,Sprint_1!$G$26:$G$80)</f>
        <v>40</v>
      </c>
      <c r="E9" s="31">
        <f>COUNTIF(Sprint_2!$E$25:$E$70,$B9)</f>
        <v>8</v>
      </c>
      <c r="F9" s="32">
        <f>SUMIF(Sprint_2!$E$25:$E$70,$B9,Sprint_2!$G$25:$G$70)</f>
        <v>36</v>
      </c>
      <c r="G9" s="31">
        <f>COUNTIF(Sprint_3!$E$25:$E$73,$B9)</f>
        <v>7</v>
      </c>
      <c r="H9" s="32">
        <f>SUMIF(Sprint_3!$E$25:$E$73,$B9,Sprint_3!$G$25:$G$73)</f>
        <v>32</v>
      </c>
      <c r="I9" s="31">
        <f>C9+E9+G9</f>
        <v>25</v>
      </c>
      <c r="J9" s="32">
        <f>D9+F9+H9</f>
        <v>108</v>
      </c>
      <c r="K9" s="33" t="s">
        <v>1049</v>
      </c>
      <c r="L9" s="34">
        <f>J9/$J$10</f>
        <v>0.18914185639229422</v>
      </c>
      <c r="M9" s="31">
        <f>COUNTIF(Sprint_1!$F$26:$F$80,$B9)+COUNTIF(Sprint_2!$F$25:$F$70,$B9)+COUNTIF(Sprint_3!$F$25:$F$73,$B9)</f>
        <v>18</v>
      </c>
    </row>
    <row r="10" spans="2:13" x14ac:dyDescent="0.25">
      <c r="B10" s="14" t="s">
        <v>1050</v>
      </c>
      <c r="C10" s="15">
        <f>SUM(C4:C9)</f>
        <v>55</v>
      </c>
      <c r="D10" s="35">
        <f>SUM(D4:D9)</f>
        <v>202</v>
      </c>
      <c r="E10" s="15">
        <f>SUM(E4:E9)</f>
        <v>46</v>
      </c>
      <c r="F10" s="35">
        <f>SUM(F4:F9)</f>
        <v>174</v>
      </c>
      <c r="G10" s="15">
        <f>SUM(G4:G9)</f>
        <v>49</v>
      </c>
      <c r="H10" s="35">
        <f>SUM(H4:H9)</f>
        <v>195</v>
      </c>
      <c r="I10" s="15">
        <f>SUM(I4:I9)</f>
        <v>150</v>
      </c>
      <c r="J10" s="35">
        <f>SUM(J4:J9)</f>
        <v>571</v>
      </c>
      <c r="K10" s="36"/>
      <c r="L10" s="37">
        <f>SUM(L4:L9)</f>
        <v>1</v>
      </c>
      <c r="M10" s="15">
        <f>SUM(M4:M9)</f>
        <v>150</v>
      </c>
    </row>
    <row r="12" ht="20" customHeight="1" spans="2:13" x14ac:dyDescent="0.25">
      <c r="B12" s="38" t="s">
        <v>1051</v>
      </c>
      <c r="C12"/>
      <c r="D12"/>
      <c r="E12"/>
      <c r="F12"/>
      <c r="G12"/>
      <c r="H12"/>
      <c r="I12"/>
      <c r="J12"/>
      <c r="K12"/>
      <c r="L12"/>
      <c r="M12"/>
    </row>
    <row r="13" ht="30" customHeight="1" spans="2:13" x14ac:dyDescent="0.25">
      <c r="B13" s="39" t="s">
        <v>1052</v>
      </c>
      <c r="C13"/>
      <c r="D13"/>
      <c r="E13"/>
      <c r="F13"/>
      <c r="G13"/>
      <c r="H13"/>
      <c r="I13"/>
      <c r="J13"/>
      <c r="K13"/>
      <c r="L13"/>
      <c r="M13"/>
    </row>
    <row r="14" ht="30" customHeight="1" spans="2:13" x14ac:dyDescent="0.25">
      <c r="B14" s="39" t="s">
        <v>1053</v>
      </c>
      <c r="C14"/>
      <c r="D14"/>
      <c r="E14"/>
      <c r="F14"/>
      <c r="G14"/>
      <c r="H14"/>
      <c r="I14"/>
      <c r="J14"/>
      <c r="K14"/>
      <c r="L14"/>
      <c r="M14"/>
    </row>
    <row r="15" ht="30" customHeight="1" spans="2:13" x14ac:dyDescent="0.25">
      <c r="B15" s="39" t="s">
        <v>1054</v>
      </c>
      <c r="C15"/>
      <c r="D15"/>
      <c r="E15"/>
      <c r="F15"/>
      <c r="G15"/>
      <c r="H15"/>
      <c r="I15"/>
      <c r="J15"/>
      <c r="K15"/>
      <c r="L15"/>
      <c r="M15"/>
    </row>
    <row r="16" ht="30" customHeight="1" spans="2:13" x14ac:dyDescent="0.25">
      <c r="B16" s="39" t="s">
        <v>1055</v>
      </c>
      <c r="C16"/>
      <c r="D16"/>
      <c r="E16"/>
      <c r="F16"/>
      <c r="G16"/>
      <c r="H16"/>
      <c r="I16"/>
      <c r="J16"/>
      <c r="K16"/>
      <c r="L16"/>
      <c r="M16"/>
    </row>
  </sheetData>
  <mergeCells count="6">
    <mergeCell ref="B1:M1"/>
    <mergeCell ref="B12:M12"/>
    <mergeCell ref="B13:M13"/>
    <mergeCell ref="B14:M14"/>
    <mergeCell ref="B15:M15"/>
    <mergeCell ref="B16:M16"/>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Product_Backlog</vt:lpstr>
      <vt:lpstr>Traceability</vt:lpstr>
      <vt:lpstr>Sprint_1</vt:lpstr>
      <vt:lpstr>Sprint_2</vt:lpstr>
      <vt:lpstr>Sprint_3</vt:lpstr>
      <vt:lpstr>Workload_Summary</vt:lpstr>
      <vt:lpstr>Legend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Nhóm 23 — IT4080</dc:creator>
  <dc:title>BlueMoon v1.0 — Product Backlog and Sprint Plan</dc:title>
  <dc:subject/>
  <dc:description/>
  <cp:keywords/>
  <cp:category/>
  <cp:lastModifiedBy>Nhóm 23 — IT4080</cp:lastModifiedBy>
  <dcterms:created xsi:type="dcterms:W3CDTF">2026-10-03T15:11:20Z</dcterms:created>
  <dcterms:modified xsi:type="dcterms:W3CDTF">2026-10-03T15:29:37Z</dcterms:modified>
</cp:coreProperties>
</file>