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TAI LIEU GIANG DAY\BAI GIANG CAC MON\IT4080 - Nhap mon Cong nghe phan mem\Soạn bài tập NM CNPM 2020\Bai tap tuan 04\{SlimCRM}Mẫu file excel quản lý dự án\"/>
    </mc:Choice>
  </mc:AlternateContent>
  <xr:revisionPtr revIDLastSave="0" documentId="13_ncr:1_{53765380-5DE4-4F44-B616-0DBD210887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í dụ - Project Risk" sheetId="1" r:id="rId1"/>
    <sheet name="BLANK - Project Ris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8WkGhnxJxOoEfsy7w1+ioNbD/Rsa1LKW2vwUJJ59Lc="/>
    </ext>
  </extLst>
</workbook>
</file>

<file path=xl/calcChain.xml><?xml version="1.0" encoding="utf-8"?>
<calcChain xmlns="http://schemas.openxmlformats.org/spreadsheetml/2006/main">
  <c r="F9" i="2" l="1"/>
  <c r="E9" i="2"/>
  <c r="D9" i="2"/>
  <c r="G9" i="2" s="1"/>
  <c r="H9" i="2" s="1"/>
  <c r="F8" i="2"/>
  <c r="E8" i="2"/>
  <c r="D8" i="2"/>
  <c r="G8" i="2" s="1"/>
  <c r="H8" i="2" s="1"/>
  <c r="F7" i="2"/>
  <c r="E7" i="2"/>
  <c r="D7" i="2"/>
  <c r="G7" i="2" s="1"/>
  <c r="H7" i="2" s="1"/>
  <c r="F6" i="2"/>
  <c r="E6" i="2"/>
  <c r="G6" i="2" s="1"/>
  <c r="H6" i="2" s="1"/>
  <c r="D6" i="2"/>
  <c r="G5" i="2"/>
  <c r="F5" i="2"/>
  <c r="F10" i="2" s="1"/>
  <c r="E5" i="2"/>
  <c r="E10" i="2" s="1"/>
  <c r="D5" i="2"/>
  <c r="D10" i="2" s="1"/>
  <c r="F9" i="1"/>
  <c r="E9" i="1"/>
  <c r="D9" i="1"/>
  <c r="G9" i="1" s="1"/>
  <c r="H9" i="1" s="1"/>
  <c r="F8" i="1"/>
  <c r="E8" i="1"/>
  <c r="D8" i="1"/>
  <c r="G8" i="1" s="1"/>
  <c r="H8" i="1" s="1"/>
  <c r="F7" i="1"/>
  <c r="E7" i="1"/>
  <c r="G7" i="1" s="1"/>
  <c r="H7" i="1" s="1"/>
  <c r="D7" i="1"/>
  <c r="F6" i="1"/>
  <c r="E6" i="1"/>
  <c r="D6" i="1"/>
  <c r="G6" i="1" s="1"/>
  <c r="H6" i="1" s="1"/>
  <c r="F5" i="1"/>
  <c r="F10" i="1" s="1"/>
  <c r="E5" i="1"/>
  <c r="E10" i="1" s="1"/>
  <c r="D5" i="1"/>
  <c r="D10" i="1" s="1"/>
  <c r="G10" i="2" l="1"/>
  <c r="G5" i="1"/>
  <c r="H5" i="2"/>
  <c r="G10" i="1" l="1"/>
  <c r="H5" i="1" s="1"/>
</calcChain>
</file>

<file path=xl/sharedStrings.xml><?xml version="1.0" encoding="utf-8"?>
<sst xmlns="http://schemas.openxmlformats.org/spreadsheetml/2006/main" count="111" uniqueCount="54">
  <si>
    <t>PROJECT RISK TEMPLATE</t>
  </si>
  <si>
    <t>High</t>
  </si>
  <si>
    <t>Medium</t>
  </si>
  <si>
    <t>Low</t>
  </si>
  <si>
    <t>STATUS TOTAL</t>
  </si>
  <si>
    <t>% OF TOTAL</t>
  </si>
  <si>
    <t>Not Started</t>
  </si>
  <si>
    <t>In Progress</t>
  </si>
  <si>
    <t>Complete</t>
  </si>
  <si>
    <t>On Hold</t>
  </si>
  <si>
    <t>Overdue</t>
  </si>
  <si>
    <t xml:space="preserve"> RISK TOTAL</t>
  </si>
  <si>
    <t>RISK</t>
  </si>
  <si>
    <t>TASK ID</t>
  </si>
  <si>
    <t>TASK</t>
  </si>
  <si>
    <t>ASSIGNED TO</t>
  </si>
  <si>
    <t>DEADLINE</t>
  </si>
  <si>
    <t>STATUS</t>
  </si>
  <si>
    <t>RISK LEVEL</t>
  </si>
  <si>
    <t>COMMENTS</t>
  </si>
  <si>
    <t>STATUS 
KEY</t>
  </si>
  <si>
    <t>RISK LEVEL 
KEY</t>
  </si>
  <si>
    <t>Thiếu nguồn lực</t>
  </si>
  <si>
    <t xml:space="preserve">Tạo kế hoạch dự phòng về tài nguyên </t>
  </si>
  <si>
    <t>Quản lý dự án</t>
  </si>
  <si>
    <t>Task 1 Subtask 1</t>
  </si>
  <si>
    <t>Task 1 Subtask 2</t>
  </si>
  <si>
    <t>Thiếu nguồn tài chính</t>
  </si>
  <si>
    <t>Lập kế hoạch nguồn tài chính thay thế</t>
  </si>
  <si>
    <t>Phòng tài chính</t>
  </si>
  <si>
    <t>Hỏng thiết bị</t>
  </si>
  <si>
    <t>Bảo trì thiết bị</t>
  </si>
  <si>
    <t>Phòng quản lý tài sản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</si>
  <si>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</si>
  <si>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</si>
  <si>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</si>
  <si>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</si>
  <si>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</si>
  <si>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</si>
  <si>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</si>
  <si>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</si>
  <si>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</si>
  <si>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Task 13</t>
  </si>
  <si>
    <t>Task 14</t>
  </si>
  <si>
    <t>Task 15</t>
  </si>
  <si>
    <t>Task 16</t>
  </si>
  <si>
    <t>Task 17</t>
  </si>
  <si>
    <t>Task 18</t>
  </si>
  <si>
    <t>Task 19</t>
  </si>
  <si>
    <t>Task 20</t>
  </si>
  <si>
    <t>Task 21</t>
  </si>
  <si>
    <t>Task 22</t>
  </si>
  <si>
    <t>Task 23</t>
  </si>
  <si>
    <t xml:space="preserve">Complete table, below.  Chart counts will populate automatically, above.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</si>
</sst>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yy"/>
  </numFmts>
  <fonts count="13" x14ac:knownFonts="1">
    <font>
      <sz val="12"/>
      <color theme="1"/>
      <name val="Calibri"/>
      <scheme val="minor"/>
    </font>
    <font>
      <sz val="12"/>
      <color theme="1"/>
      <name val="Barlow"/>
    </font>
    <font>
      <u/>
      <sz val="11"/>
      <color rgb="FF0000FF"/>
      <name val="Barlow"/>
    </font>
    <font>
      <sz val="10"/>
      <color theme="1"/>
      <name val="Barlow"/>
    </font>
    <font>
      <i/>
      <u/>
      <sz val="12"/>
      <color rgb="FF0000FF"/>
      <name val="Barlow"/>
    </font>
    <font>
      <b/>
      <sz val="20"/>
      <color rgb="FF7F7F7F"/>
      <name val="Barlow"/>
    </font>
    <font>
      <sz val="10"/>
      <color rgb="FF000000"/>
      <name val="Barlow"/>
    </font>
    <font>
      <sz val="11"/>
      <color rgb="FF595959"/>
      <name val="Barlow"/>
    </font>
    <font>
      <b/>
      <sz val="10"/>
      <color rgb="FFFFFFFF"/>
      <name val="Barlow"/>
    </font>
    <font>
      <b/>
      <sz val="10"/>
      <color theme="0"/>
      <name val="Barlow"/>
    </font>
    <font>
      <i/>
      <sz val="12"/>
      <color rgb="FF0000FF"/>
      <name val="Barlow"/>
    </font>
    <font>
      <u/>
      <sz val="11"/>
      <color rgb="FF0000FF"/>
      <name val="Barlow"/>
    </font>
    <font>
      <sz val="9"/>
      <color theme="1"/>
      <name val="Barlow"/>
    </font>
  </fonts>
  <fills count="2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BEBEB"/>
        <bgColor rgb="FFEBEBEB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94EFFB"/>
        <bgColor rgb="FF94EFFB"/>
      </patternFill>
    </fill>
    <fill>
      <patternFill patternType="solid">
        <fgColor rgb="FFD6DCE4"/>
        <bgColor rgb="FFD6DCE4"/>
      </patternFill>
    </fill>
    <fill>
      <patternFill patternType="solid">
        <fgColor rgb="FF000000"/>
        <bgColor rgb="FF000000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EAEEF3"/>
        <bgColor rgb="FFEAEEF3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thin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wrapText="1"/>
    </xf>
    <xf numFmtId="0" fontId="4" fillId="2" borderId="0" xfId="0" applyFont="1" applyFill="1"/>
    <xf numFmtId="0" fontId="3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vertical="center"/>
    </xf>
    <xf numFmtId="0" fontId="1" fillId="0" borderId="0" xfId="0" applyFont="1"/>
    <xf numFmtId="0" fontId="3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 readingOrder="1"/>
    </xf>
    <xf numFmtId="0" fontId="6" fillId="4" borderId="3" xfId="0" applyFont="1" applyFill="1" applyBorder="1" applyAlignment="1">
      <alignment horizontal="left" vertical="center" wrapText="1" readingOrder="1"/>
    </xf>
    <xf numFmtId="0" fontId="3" fillId="4" borderId="4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 wrapText="1"/>
    </xf>
    <xf numFmtId="9" fontId="7" fillId="0" borderId="0" xfId="0" applyNumberFormat="1" applyFont="1" applyAlignment="1">
      <alignment horizontal="left" vertical="center" wrapText="1"/>
    </xf>
    <xf numFmtId="0" fontId="6" fillId="4" borderId="5" xfId="0" applyFont="1" applyFill="1" applyBorder="1" applyAlignment="1">
      <alignment horizontal="right" vertical="center" wrapText="1" readingOrder="1"/>
    </xf>
    <xf numFmtId="0" fontId="1" fillId="8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right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right" vertical="center" wrapText="1"/>
    </xf>
    <xf numFmtId="0" fontId="1" fillId="5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1" fillId="12" borderId="13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9" fillId="17" borderId="2" xfId="0" applyFont="1" applyFill="1" applyBorder="1" applyAlignment="1">
      <alignment horizontal="left" vertical="center" wrapText="1"/>
    </xf>
    <xf numFmtId="0" fontId="9" fillId="17" borderId="3" xfId="0" applyFont="1" applyFill="1" applyBorder="1" applyAlignment="1">
      <alignment horizontal="left" vertical="center" wrapText="1"/>
    </xf>
    <xf numFmtId="0" fontId="9" fillId="18" borderId="2" xfId="0" applyFont="1" applyFill="1" applyBorder="1" applyAlignment="1">
      <alignment horizontal="left" vertical="center" wrapText="1"/>
    </xf>
    <xf numFmtId="164" fontId="3" fillId="19" borderId="2" xfId="0" applyNumberFormat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5" fontId="6" fillId="6" borderId="2" xfId="0" applyNumberFormat="1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wrapText="1"/>
    </xf>
    <xf numFmtId="0" fontId="12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wrapText="1"/>
    </xf>
    <xf numFmtId="0" fontId="0" fillId="0" borderId="0" xfId="0"/>
    <xf numFmtId="0" fontId="10" fillId="2" borderId="0" xfId="0" applyFont="1" applyFill="1"/>
    <xf numFmtId="0" fontId="11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3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D965"/>
          <bgColor rgb="FFFFD9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546A"/>
    <pageSetUpPr fitToPage="1"/>
  </sheetPr>
  <dimension ref="A1:AF100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ColWidth="11.25" defaultRowHeight="15" customHeight="1" x14ac:dyDescent="0.25"/>
  <cols>
    <col min="1" max="1" width="20.625" customWidth="1"/>
    <col min="2" max="2" width="7.75" customWidth="1"/>
    <col min="3" max="3" width="30.75" customWidth="1"/>
    <col min="4" max="7" width="17.75" customWidth="1"/>
    <col min="8" max="8" width="40.75" customWidth="1"/>
    <col min="9" max="9" width="3.375" customWidth="1"/>
    <col min="10" max="10" width="13.75" customWidth="1"/>
    <col min="11" max="11" width="3.375" customWidth="1"/>
    <col min="12" max="12" width="13.75" customWidth="1"/>
    <col min="13" max="13" width="3.375" customWidth="1"/>
    <col min="14" max="16" width="11" customWidth="1"/>
    <col min="17" max="17" width="9" customWidth="1"/>
    <col min="18" max="32" width="11" customWidth="1"/>
  </cols>
  <sheetData>
    <row r="1" spans="1:32" ht="9.9499999999999993" customHeight="1" x14ac:dyDescent="0.35">
      <c r="A1" s="1"/>
      <c r="B1" s="45"/>
      <c r="C1" s="4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9.9499999999999993" customHeight="1" x14ac:dyDescent="0.35">
      <c r="A2" s="3"/>
      <c r="B2" s="46"/>
      <c r="C2" s="4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45" customHeight="1" x14ac:dyDescent="0.35">
      <c r="A3" s="4"/>
      <c r="B3" s="5" t="s">
        <v>0</v>
      </c>
      <c r="C3" s="6"/>
      <c r="D3" s="6"/>
      <c r="E3" s="6"/>
      <c r="F3" s="6"/>
      <c r="G3" s="6"/>
      <c r="H3" s="6"/>
      <c r="I3" s="4"/>
      <c r="J3" s="6"/>
      <c r="K3" s="4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4.75" customHeight="1" x14ac:dyDescent="0.25">
      <c r="A4" s="4"/>
      <c r="B4" s="4"/>
      <c r="C4" s="4"/>
      <c r="D4" s="7" t="s">
        <v>1</v>
      </c>
      <c r="E4" s="8" t="s">
        <v>2</v>
      </c>
      <c r="F4" s="9" t="s">
        <v>3</v>
      </c>
      <c r="G4" s="10" t="s">
        <v>4</v>
      </c>
      <c r="H4" s="11" t="s">
        <v>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2"/>
      <c r="AD4" s="2"/>
      <c r="AE4" s="2"/>
      <c r="AF4" s="2"/>
    </row>
    <row r="5" spans="1:32" ht="24.75" customHeight="1" x14ac:dyDescent="0.25">
      <c r="A5" s="4"/>
      <c r="B5" s="4"/>
      <c r="C5" s="12" t="s">
        <v>6</v>
      </c>
      <c r="D5" s="13">
        <f>COUNTIFS(F13:F37,"Not Started",G13:G37,"High")</f>
        <v>0</v>
      </c>
      <c r="E5" s="14">
        <f>COUNTIFS(F13:F37,"Not Started",G13:G37,"Medium")</f>
        <v>2</v>
      </c>
      <c r="F5" s="15">
        <f>COUNTIFS(F13:F37,"Not Started",G13:G37,"Low")</f>
        <v>1</v>
      </c>
      <c r="G5" s="16">
        <f t="shared" ref="G5:G9" si="0">SUM(D5:F5)</f>
        <v>3</v>
      </c>
      <c r="H5" s="17">
        <f t="shared" ref="H5:H9" si="1">IFERROR(G5/G10,"0%")</f>
        <v>0.3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"/>
      <c r="AD5" s="2"/>
      <c r="AE5" s="2"/>
      <c r="AF5" s="2"/>
    </row>
    <row r="6" spans="1:32" ht="24.75" customHeight="1" x14ac:dyDescent="0.25">
      <c r="A6" s="4"/>
      <c r="B6" s="4"/>
      <c r="C6" s="18" t="s">
        <v>7</v>
      </c>
      <c r="D6" s="13">
        <f>COUNTIFS(F13:F37,"In Progress",G13:G37,"High")</f>
        <v>1</v>
      </c>
      <c r="E6" s="14">
        <f>COUNTIFS(F13:F37,"In Progress",G13:G37,"Medium")</f>
        <v>1</v>
      </c>
      <c r="F6" s="15">
        <f>COUNTIFS(F13:F37,"In Progress",G13:G37,"Low")</f>
        <v>0</v>
      </c>
      <c r="G6" s="19">
        <f t="shared" si="0"/>
        <v>2</v>
      </c>
      <c r="H6" s="17" t="str">
        <f t="shared" si="1"/>
        <v>0%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2"/>
      <c r="AD6" s="2"/>
      <c r="AE6" s="2"/>
      <c r="AF6" s="2"/>
    </row>
    <row r="7" spans="1:32" ht="24.75" customHeight="1" x14ac:dyDescent="0.25">
      <c r="A7" s="4"/>
      <c r="B7" s="4"/>
      <c r="C7" s="18" t="s">
        <v>8</v>
      </c>
      <c r="D7" s="13">
        <f>COUNTIFS(F13:F37,"Complete",G13:G37,"High")</f>
        <v>2</v>
      </c>
      <c r="E7" s="14">
        <f>COUNTIFS(F13:F37,"Complete",G13:G37,"Medium")</f>
        <v>0</v>
      </c>
      <c r="F7" s="15">
        <f>COUNTIFS(F13:F37,"Complete",G13:G37,"Low")</f>
        <v>1</v>
      </c>
      <c r="G7" s="20">
        <f t="shared" si="0"/>
        <v>3</v>
      </c>
      <c r="H7" s="17" t="str">
        <f t="shared" si="1"/>
        <v>0%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"/>
      <c r="AD7" s="2"/>
      <c r="AE7" s="2"/>
      <c r="AF7" s="2"/>
    </row>
    <row r="8" spans="1:32" ht="24.75" customHeight="1" x14ac:dyDescent="0.25">
      <c r="A8" s="4"/>
      <c r="B8" s="4"/>
      <c r="C8" s="21" t="s">
        <v>9</v>
      </c>
      <c r="D8" s="13">
        <f>COUNTIFS(F13:F37,"On Hold",G13:G37,"High")</f>
        <v>0</v>
      </c>
      <c r="E8" s="14">
        <f>COUNTIFS(F13:F37,"On Hold",G13:G37,"Medium")</f>
        <v>0</v>
      </c>
      <c r="F8" s="15">
        <f>COUNTIFS(F13:F37,"On Hold",G13:G37,"Low")</f>
        <v>1</v>
      </c>
      <c r="G8" s="22">
        <f t="shared" si="0"/>
        <v>1</v>
      </c>
      <c r="H8" s="17" t="str">
        <f t="shared" si="1"/>
        <v>0%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2"/>
      <c r="AD8" s="2"/>
      <c r="AE8" s="2"/>
      <c r="AF8" s="2"/>
    </row>
    <row r="9" spans="1:32" ht="24.75" customHeight="1" x14ac:dyDescent="0.25">
      <c r="A9" s="4"/>
      <c r="B9" s="4"/>
      <c r="C9" s="23" t="s">
        <v>10</v>
      </c>
      <c r="D9" s="24">
        <f>COUNTIFS(F13:F37,"Overdue",G13:G37,"High")</f>
        <v>1</v>
      </c>
      <c r="E9" s="25">
        <f>COUNTIFS(F13:F37,"Overdue",G13:G37,"Medium")</f>
        <v>0</v>
      </c>
      <c r="F9" s="26">
        <f>COUNTIFS(F13:F37,"Overdue",G13:G37,"Low")</f>
        <v>0</v>
      </c>
      <c r="G9" s="27">
        <f t="shared" si="0"/>
        <v>1</v>
      </c>
      <c r="H9" s="17" t="str">
        <f t="shared" si="1"/>
        <v>0%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2"/>
      <c r="AD9" s="2"/>
      <c r="AE9" s="2"/>
      <c r="AF9" s="2"/>
    </row>
    <row r="10" spans="1:32" ht="24.75" customHeight="1" x14ac:dyDescent="0.25">
      <c r="A10" s="4"/>
      <c r="B10" s="4"/>
      <c r="C10" s="28" t="s">
        <v>11</v>
      </c>
      <c r="D10" s="29">
        <f t="shared" ref="D10:G10" si="2">SUM(D5:D9)</f>
        <v>4</v>
      </c>
      <c r="E10" s="30">
        <f t="shared" si="2"/>
        <v>3</v>
      </c>
      <c r="F10" s="31">
        <f t="shared" si="2"/>
        <v>3</v>
      </c>
      <c r="G10" s="32">
        <f t="shared" si="2"/>
        <v>10</v>
      </c>
      <c r="H10" s="3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"/>
      <c r="AD10" s="2"/>
      <c r="AE10" s="2"/>
      <c r="AF10" s="2"/>
    </row>
    <row r="11" spans="1:32" ht="12.7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2"/>
      <c r="AD11" s="2"/>
      <c r="AE11" s="2"/>
      <c r="AF11" s="2"/>
    </row>
    <row r="12" spans="1:32" ht="34.5" customHeight="1" x14ac:dyDescent="0.25">
      <c r="A12" s="34" t="s">
        <v>12</v>
      </c>
      <c r="B12" s="35" t="s">
        <v>13</v>
      </c>
      <c r="C12" s="35" t="s">
        <v>14</v>
      </c>
      <c r="D12" s="36" t="s">
        <v>15</v>
      </c>
      <c r="E12" s="37" t="s">
        <v>16</v>
      </c>
      <c r="F12" s="35" t="s">
        <v>17</v>
      </c>
      <c r="G12" s="35" t="s">
        <v>18</v>
      </c>
      <c r="H12" s="36" t="s">
        <v>19</v>
      </c>
      <c r="I12" s="11"/>
      <c r="J12" s="35" t="s">
        <v>20</v>
      </c>
      <c r="K12" s="11"/>
      <c r="L12" s="35" t="s">
        <v>21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ht="24.75" customHeight="1" x14ac:dyDescent="0.25">
      <c r="A13" s="11" t="s">
        <v>22</v>
      </c>
      <c r="B13" s="38">
        <v>1</v>
      </c>
      <c r="C13" s="39" t="s">
        <v>23</v>
      </c>
      <c r="D13" s="9" t="s">
        <v>24</v>
      </c>
      <c r="E13" s="40">
        <v>45147</v>
      </c>
      <c r="F13" s="8" t="s">
        <v>8</v>
      </c>
      <c r="G13" s="8" t="s">
        <v>1</v>
      </c>
      <c r="H13" s="9"/>
      <c r="I13" s="11"/>
      <c r="J13" s="7" t="s">
        <v>6</v>
      </c>
      <c r="K13" s="11"/>
      <c r="L13" s="7" t="s">
        <v>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ht="24.75" customHeight="1" x14ac:dyDescent="0.25">
      <c r="A14" s="11"/>
      <c r="B14" s="38">
        <v>1.1000000000000001</v>
      </c>
      <c r="C14" s="39" t="s">
        <v>25</v>
      </c>
      <c r="D14" s="9"/>
      <c r="E14" s="40"/>
      <c r="F14" s="8" t="s">
        <v>8</v>
      </c>
      <c r="G14" s="8" t="s">
        <v>1</v>
      </c>
      <c r="H14" s="9"/>
      <c r="I14" s="11"/>
      <c r="J14" s="8" t="s">
        <v>7</v>
      </c>
      <c r="K14" s="11"/>
      <c r="L14" s="8" t="s">
        <v>2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ht="24.75" customHeight="1" x14ac:dyDescent="0.25">
      <c r="A15" s="11"/>
      <c r="B15" s="38">
        <v>1.2</v>
      </c>
      <c r="C15" s="39" t="s">
        <v>26</v>
      </c>
      <c r="D15" s="9"/>
      <c r="E15" s="40"/>
      <c r="F15" s="8" t="s">
        <v>7</v>
      </c>
      <c r="G15" s="8" t="s">
        <v>1</v>
      </c>
      <c r="H15" s="9"/>
      <c r="I15" s="11"/>
      <c r="J15" s="8" t="s">
        <v>8</v>
      </c>
      <c r="K15" s="11"/>
      <c r="L15" s="8" t="s">
        <v>3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ht="24.75" customHeight="1" x14ac:dyDescent="0.25">
      <c r="A16" s="11" t="s">
        <v>27</v>
      </c>
      <c r="B16" s="38">
        <v>2</v>
      </c>
      <c r="C16" s="39" t="s">
        <v>28</v>
      </c>
      <c r="D16" s="41" t="s">
        <v>29</v>
      </c>
      <c r="E16" s="40">
        <v>45175</v>
      </c>
      <c r="F16" s="39" t="s">
        <v>10</v>
      </c>
      <c r="G16" s="39" t="s">
        <v>1</v>
      </c>
      <c r="H16" s="41"/>
      <c r="I16" s="11"/>
      <c r="J16" s="39" t="s">
        <v>9</v>
      </c>
      <c r="K16" s="11"/>
      <c r="L16" s="39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24.75" customHeight="1" x14ac:dyDescent="0.25">
      <c r="A17" s="11" t="s">
        <v>30</v>
      </c>
      <c r="B17" s="38">
        <v>3</v>
      </c>
      <c r="C17" s="39" t="s">
        <v>31</v>
      </c>
      <c r="D17" s="9" t="s">
        <v>32</v>
      </c>
      <c r="E17" s="40">
        <v>45179</v>
      </c>
      <c r="F17" s="8" t="s">
        <v>6</v>
      </c>
      <c r="G17" s="8" t="s">
        <v>2</v>
      </c>
      <c r="H17" s="9"/>
      <c r="I17" s="11"/>
      <c r="J17" s="42" t="s">
        <v>10</v>
      </c>
      <c r="K17" s="11"/>
      <c r="L17" s="4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ht="24.75" customHeight="1" x14ac:dyDescent="0.25">
      <c r="A18" s="11"/>
      <c r="B18" s="38">
        <v>4</v>
      </c>
      <c r="C18" s="39" t="s">
        <v>33</v>
      </c>
      <c r="D18" s="9"/>
      <c r="E18" s="40"/>
      <c r="F18" s="8" t="s">
        <v>9</v>
      </c>
      <c r="G18" s="8" t="s">
        <v>3</v>
      </c>
      <c r="H18" s="9"/>
      <c r="I18" s="11"/>
      <c r="J18" s="39"/>
      <c r="K18" s="11"/>
      <c r="L18" s="4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ht="24.75" customHeight="1" x14ac:dyDescent="0.25">
      <c r="A19" s="11"/>
      <c r="B19" s="38">
        <v>5</v>
      </c>
      <c r="C19" s="39" t="s">
        <v>34</v>
      </c>
      <c r="D19" s="9"/>
      <c r="E19" s="40"/>
      <c r="F19" s="8" t="s">
        <v>6</v>
      </c>
      <c r="G19" s="8" t="s">
        <v>2</v>
      </c>
      <c r="H19" s="9"/>
      <c r="I19" s="11"/>
      <c r="J19" s="4"/>
      <c r="K19" s="11"/>
      <c r="L19" s="4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ht="24.75" customHeight="1" x14ac:dyDescent="0.25">
      <c r="A20" s="11"/>
      <c r="B20" s="38">
        <v>6</v>
      </c>
      <c r="C20" s="39" t="s">
        <v>35</v>
      </c>
      <c r="D20" s="9"/>
      <c r="E20" s="40"/>
      <c r="F20" s="8" t="s">
        <v>6</v>
      </c>
      <c r="G20" s="8" t="s">
        <v>3</v>
      </c>
      <c r="H20" s="9"/>
      <c r="I20" s="11"/>
      <c r="J20" s="4"/>
      <c r="K20" s="11"/>
      <c r="L20" s="4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24.75" customHeight="1" x14ac:dyDescent="0.25">
      <c r="A21" s="11"/>
      <c r="B21" s="38">
        <v>7</v>
      </c>
      <c r="C21" s="39" t="s">
        <v>36</v>
      </c>
      <c r="D21" s="9"/>
      <c r="E21" s="40"/>
      <c r="F21" s="8" t="s">
        <v>7</v>
      </c>
      <c r="G21" s="8" t="s">
        <v>2</v>
      </c>
      <c r="H21" s="9"/>
      <c r="I21" s="11"/>
      <c r="J21" s="4"/>
      <c r="K21" s="11"/>
      <c r="L21" s="4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ht="24.75" customHeight="1" x14ac:dyDescent="0.25">
      <c r="A22" s="11"/>
      <c r="B22" s="38">
        <v>8</v>
      </c>
      <c r="C22" s="39" t="s">
        <v>37</v>
      </c>
      <c r="D22" s="9"/>
      <c r="E22" s="40"/>
      <c r="F22" s="8" t="s">
        <v>8</v>
      </c>
      <c r="G22" s="8" t="s">
        <v>3</v>
      </c>
      <c r="H22" s="9"/>
      <c r="I22" s="11"/>
      <c r="J22" s="4"/>
      <c r="K22" s="11"/>
      <c r="L22" s="4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24.75" customHeight="1" x14ac:dyDescent="0.25">
      <c r="A23" s="11"/>
      <c r="B23" s="38">
        <v>9</v>
      </c>
      <c r="C23" s="39" t="s">
        <v>38</v>
      </c>
      <c r="D23" s="9"/>
      <c r="E23" s="40"/>
      <c r="F23" s="8"/>
      <c r="G23" s="8"/>
      <c r="H23" s="9"/>
      <c r="I23" s="11"/>
      <c r="J23" s="4"/>
      <c r="K23" s="11"/>
      <c r="L23" s="4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ht="24.75" customHeight="1" x14ac:dyDescent="0.25">
      <c r="A24" s="11"/>
      <c r="B24" s="38">
        <v>10</v>
      </c>
      <c r="C24" s="39" t="s">
        <v>39</v>
      </c>
      <c r="D24" s="9"/>
      <c r="E24" s="40"/>
      <c r="F24" s="8"/>
      <c r="G24" s="8"/>
      <c r="H24" s="9"/>
      <c r="I24" s="11"/>
      <c r="J24" s="4"/>
      <c r="K24" s="11"/>
      <c r="L24" s="4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24.75" customHeight="1" x14ac:dyDescent="0.25">
      <c r="A25" s="11"/>
      <c r="B25" s="38">
        <v>11</v>
      </c>
      <c r="C25" s="39" t="s">
        <v>40</v>
      </c>
      <c r="D25" s="9"/>
      <c r="E25" s="40"/>
      <c r="F25" s="8"/>
      <c r="G25" s="8"/>
      <c r="H25" s="9"/>
      <c r="I25" s="11"/>
      <c r="J25" s="4"/>
      <c r="K25" s="11"/>
      <c r="L25" s="4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ht="24.75" customHeight="1" x14ac:dyDescent="0.25">
      <c r="A26" s="11"/>
      <c r="B26" s="38">
        <v>12</v>
      </c>
      <c r="C26" s="39" t="s">
        <v>41</v>
      </c>
      <c r="D26" s="9"/>
      <c r="E26" s="40"/>
      <c r="F26" s="8"/>
      <c r="G26" s="8"/>
      <c r="H26" s="9"/>
      <c r="I26" s="11"/>
      <c r="J26" s="4"/>
      <c r="K26" s="11"/>
      <c r="L26" s="4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ht="24.75" customHeight="1" x14ac:dyDescent="0.25">
      <c r="A27" s="11"/>
      <c r="B27" s="38">
        <v>13</v>
      </c>
      <c r="C27" s="39" t="s">
        <v>42</v>
      </c>
      <c r="D27" s="9"/>
      <c r="E27" s="40"/>
      <c r="F27" s="8"/>
      <c r="G27" s="8"/>
      <c r="H27" s="9"/>
      <c r="I27" s="11"/>
      <c r="J27" s="4"/>
      <c r="K27" s="11"/>
      <c r="L27" s="4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ht="24.75" customHeight="1" x14ac:dyDescent="0.25">
      <c r="A28" s="11"/>
      <c r="B28" s="38">
        <v>14</v>
      </c>
      <c r="C28" s="39" t="s">
        <v>43</v>
      </c>
      <c r="D28" s="9"/>
      <c r="E28" s="40"/>
      <c r="F28" s="8"/>
      <c r="G28" s="8"/>
      <c r="H28" s="9"/>
      <c r="I28" s="11"/>
      <c r="J28" s="4"/>
      <c r="K28" s="11"/>
      <c r="L28" s="4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ht="24.75" customHeight="1" x14ac:dyDescent="0.25">
      <c r="A29" s="11"/>
      <c r="B29" s="38">
        <v>15</v>
      </c>
      <c r="C29" s="39" t="s">
        <v>44</v>
      </c>
      <c r="D29" s="9"/>
      <c r="E29" s="40"/>
      <c r="F29" s="8"/>
      <c r="G29" s="8"/>
      <c r="H29" s="9"/>
      <c r="I29" s="11"/>
      <c r="J29" s="4"/>
      <c r="K29" s="11"/>
      <c r="L29" s="4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ht="24.75" customHeight="1" x14ac:dyDescent="0.25">
      <c r="A30" s="11"/>
      <c r="B30" s="38">
        <v>16</v>
      </c>
      <c r="C30" s="39" t="s">
        <v>45</v>
      </c>
      <c r="D30" s="9"/>
      <c r="E30" s="40"/>
      <c r="F30" s="8"/>
      <c r="G30" s="8"/>
      <c r="H30" s="9"/>
      <c r="I30" s="11"/>
      <c r="J30" s="4"/>
      <c r="K30" s="11"/>
      <c r="L30" s="4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24.75" customHeight="1" x14ac:dyDescent="0.25">
      <c r="A31" s="11"/>
      <c r="B31" s="38">
        <v>17</v>
      </c>
      <c r="C31" s="39" t="s">
        <v>46</v>
      </c>
      <c r="D31" s="9"/>
      <c r="E31" s="40"/>
      <c r="F31" s="8"/>
      <c r="G31" s="8"/>
      <c r="H31" s="9"/>
      <c r="I31" s="11"/>
      <c r="J31" s="4"/>
      <c r="K31" s="11"/>
      <c r="L31" s="4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24.75" customHeight="1" x14ac:dyDescent="0.25">
      <c r="A32" s="11"/>
      <c r="B32" s="38">
        <v>18</v>
      </c>
      <c r="C32" s="39" t="s">
        <v>47</v>
      </c>
      <c r="D32" s="9"/>
      <c r="E32" s="40"/>
      <c r="F32" s="8"/>
      <c r="G32" s="8"/>
      <c r="H32" s="9"/>
      <c r="I32" s="11"/>
      <c r="J32" s="4"/>
      <c r="K32" s="11"/>
      <c r="L32" s="4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24.75" customHeight="1" x14ac:dyDescent="0.25">
      <c r="A33" s="11"/>
      <c r="B33" s="38">
        <v>19</v>
      </c>
      <c r="C33" s="39" t="s">
        <v>48</v>
      </c>
      <c r="D33" s="9"/>
      <c r="E33" s="40"/>
      <c r="F33" s="8"/>
      <c r="G33" s="8"/>
      <c r="H33" s="9"/>
      <c r="I33" s="11"/>
      <c r="J33" s="4"/>
      <c r="K33" s="11"/>
      <c r="L33" s="4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24.75" customHeight="1" x14ac:dyDescent="0.25">
      <c r="A34" s="11"/>
      <c r="B34" s="38">
        <v>20</v>
      </c>
      <c r="C34" s="39" t="s">
        <v>49</v>
      </c>
      <c r="D34" s="9"/>
      <c r="E34" s="40"/>
      <c r="F34" s="8"/>
      <c r="G34" s="8"/>
      <c r="H34" s="9"/>
      <c r="I34" s="11"/>
      <c r="J34" s="4"/>
      <c r="K34" s="11"/>
      <c r="L34" s="4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24.75" customHeight="1" x14ac:dyDescent="0.25">
      <c r="A35" s="11"/>
      <c r="B35" s="38">
        <v>21</v>
      </c>
      <c r="C35" s="39" t="s">
        <v>50</v>
      </c>
      <c r="D35" s="9"/>
      <c r="E35" s="40"/>
      <c r="F35" s="8"/>
      <c r="G35" s="8"/>
      <c r="H35" s="9"/>
      <c r="I35" s="11"/>
      <c r="J35" s="4"/>
      <c r="K35" s="11"/>
      <c r="L35" s="4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24.75" customHeight="1" x14ac:dyDescent="0.25">
      <c r="A36" s="11"/>
      <c r="B36" s="38">
        <v>22</v>
      </c>
      <c r="C36" s="39" t="s">
        <v>51</v>
      </c>
      <c r="D36" s="9"/>
      <c r="E36" s="40"/>
      <c r="F36" s="8"/>
      <c r="G36" s="8"/>
      <c r="H36" s="9"/>
      <c r="I36" s="11"/>
      <c r="J36" s="4"/>
      <c r="K36" s="11"/>
      <c r="L36" s="4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24.75" customHeight="1" x14ac:dyDescent="0.25">
      <c r="A37" s="11"/>
      <c r="B37" s="38">
        <v>23</v>
      </c>
      <c r="C37" s="39" t="s">
        <v>52</v>
      </c>
      <c r="D37" s="9"/>
      <c r="E37" s="40"/>
      <c r="F37" s="8"/>
      <c r="G37" s="8"/>
      <c r="H37" s="9"/>
      <c r="I37" s="11"/>
      <c r="J37" s="4"/>
      <c r="K37" s="11"/>
      <c r="L37" s="4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2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2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2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2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2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">
    <mergeCell ref="B1:C2"/>
  </mergeCells>
  <conditionalFormatting sqref="C5:C9">
    <cfRule type="containsText" dxfId="31" priority="9" operator="containsText" text="Overdue">
      <formula>NOT(ISERROR(SEARCH(("Overdue"),(C5))))</formula>
    </cfRule>
    <cfRule type="containsText" dxfId="30" priority="10" operator="containsText" text="On Hold">
      <formula>NOT(ISERROR(SEARCH(("On Hold"),(C5))))</formula>
    </cfRule>
    <cfRule type="containsText" dxfId="29" priority="11" operator="containsText" text="Complete">
      <formula>NOT(ISERROR(SEARCH(("Complete"),(C5))))</formula>
    </cfRule>
    <cfRule type="containsText" dxfId="28" priority="12" operator="containsText" text="In Progress">
      <formula>NOT(ISERROR(SEARCH(("In Progress"),(C5))))</formula>
    </cfRule>
    <cfRule type="containsText" dxfId="27" priority="13" operator="containsText" text="Not Started">
      <formula>NOT(ISERROR(SEARCH(("Not Started"),(C5))))</formula>
    </cfRule>
  </conditionalFormatting>
  <conditionalFormatting sqref="D4:F4">
    <cfRule type="containsText" dxfId="26" priority="14" operator="containsText" text="Low">
      <formula>NOT(ISERROR(SEARCH(("Low"),(D4))))</formula>
    </cfRule>
    <cfRule type="containsText" dxfId="25" priority="15" operator="containsText" text="Medium">
      <formula>NOT(ISERROR(SEARCH(("Medium"),(D4))))</formula>
    </cfRule>
    <cfRule type="containsText" dxfId="24" priority="16" operator="containsText" text="High">
      <formula>NOT(ISERROR(SEARCH(("High"),(D4))))</formula>
    </cfRule>
  </conditionalFormatting>
  <conditionalFormatting sqref="J13:J18 F13:F37">
    <cfRule type="containsText" dxfId="23" priority="1" operator="containsText" text="Overdue">
      <formula>NOT(ISERROR(SEARCH(("Overdue"),(F13))))</formula>
    </cfRule>
    <cfRule type="containsText" dxfId="22" priority="2" operator="containsText" text="On Hold">
      <formula>NOT(ISERROR(SEARCH(("On Hold"),(F13))))</formula>
    </cfRule>
    <cfRule type="containsText" dxfId="21" priority="3" operator="containsText" text="Complete">
      <formula>NOT(ISERROR(SEARCH(("Complete"),(F13))))</formula>
    </cfRule>
    <cfRule type="containsText" dxfId="20" priority="4" operator="containsText" text="In Progress">
      <formula>NOT(ISERROR(SEARCH(("In Progress"),(F13))))</formula>
    </cfRule>
    <cfRule type="containsText" dxfId="19" priority="5" operator="containsText" text="Not Started">
      <formula>NOT(ISERROR(SEARCH(("Not Started"),(F13))))</formula>
    </cfRule>
  </conditionalFormatting>
  <conditionalFormatting sqref="L13:L16 G13:G37">
    <cfRule type="containsText" dxfId="18" priority="6" operator="containsText" text="Low">
      <formula>NOT(ISERROR(SEARCH(("Low"),(G13))))</formula>
    </cfRule>
    <cfRule type="containsText" dxfId="17" priority="7" operator="containsText" text="Medium">
      <formula>NOT(ISERROR(SEARCH(("Medium"),(G13))))</formula>
    </cfRule>
    <cfRule type="containsText" dxfId="16" priority="8" operator="containsText" text="High">
      <formula>NOT(ISERROR(SEARCH(("High"),(G13))))</formula>
    </cfRule>
  </conditionalFormatting>
  <dataValidations count="2">
    <dataValidation type="list" allowBlank="1" showErrorMessage="1" sqref="G13:G37" xr:uid="{00000000-0002-0000-0000-000000000000}">
      <formula1>$L$13:$L$16</formula1>
    </dataValidation>
    <dataValidation type="list" allowBlank="1" showErrorMessage="1" sqref="F13:F37" xr:uid="{00000000-0002-0000-0000-000001000000}">
      <formula1>$J$13:$J$18</formula1>
    </dataValidation>
  </dataValidations>
  <pageMargins left="0.3" right="0.3" top="0.3" bottom="0.3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496B0"/>
    <pageSetUpPr fitToPage="1"/>
  </sheetPr>
  <dimension ref="A1:AF1002"/>
  <sheetViews>
    <sheetView showGridLines="0" workbookViewId="0">
      <pane ySplit="2" topLeftCell="A3" activePane="bottomLeft" state="frozen"/>
      <selection pane="bottomLeft" activeCell="B1" sqref="B1:C2"/>
    </sheetView>
  </sheetViews>
  <sheetFormatPr defaultColWidth="11.25" defaultRowHeight="15" customHeight="1" x14ac:dyDescent="0.25"/>
  <cols>
    <col min="1" max="1" width="3.375" customWidth="1"/>
    <col min="2" max="2" width="7.75" customWidth="1"/>
    <col min="3" max="3" width="22.25" customWidth="1"/>
    <col min="4" max="7" width="17.75" customWidth="1"/>
    <col min="8" max="8" width="40.75" customWidth="1"/>
    <col min="9" max="9" width="3.375" customWidth="1"/>
    <col min="10" max="10" width="13.75" customWidth="1"/>
    <col min="11" max="11" width="3.375" customWidth="1"/>
    <col min="12" max="12" width="13.75" customWidth="1"/>
    <col min="13" max="13" width="3.375" customWidth="1"/>
    <col min="14" max="16" width="11" customWidth="1"/>
    <col min="17" max="17" width="9" customWidth="1"/>
    <col min="18" max="32" width="11" customWidth="1"/>
  </cols>
  <sheetData>
    <row r="1" spans="1:32" ht="9.9499999999999993" customHeight="1" x14ac:dyDescent="0.35">
      <c r="A1" s="43"/>
      <c r="B1" s="47"/>
      <c r="C1" s="46"/>
      <c r="D1" s="48"/>
      <c r="E1" s="46"/>
      <c r="F1" s="6"/>
      <c r="G1" s="6"/>
      <c r="H1" s="6"/>
      <c r="I1" s="43"/>
      <c r="J1" s="6"/>
      <c r="K1" s="43"/>
      <c r="L1" s="6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2"/>
      <c r="AD1" s="2"/>
      <c r="AE1" s="2"/>
      <c r="AF1" s="2"/>
    </row>
    <row r="2" spans="1:32" ht="9.9499999999999993" customHeight="1" x14ac:dyDescent="0.35">
      <c r="A2" s="43"/>
      <c r="B2" s="46"/>
      <c r="C2" s="46"/>
      <c r="D2" s="46"/>
      <c r="E2" s="46"/>
      <c r="F2" s="6"/>
      <c r="G2" s="6"/>
      <c r="H2" s="6"/>
      <c r="I2" s="43"/>
      <c r="J2" s="6"/>
      <c r="K2" s="43"/>
      <c r="L2" s="6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2"/>
      <c r="AD2" s="2"/>
      <c r="AE2" s="2"/>
      <c r="AF2" s="2"/>
    </row>
    <row r="3" spans="1:32" ht="45" customHeight="1" x14ac:dyDescent="0.35">
      <c r="A3" s="4"/>
      <c r="B3" s="5" t="s">
        <v>0</v>
      </c>
      <c r="C3" s="6"/>
      <c r="D3" s="6"/>
      <c r="E3" s="6"/>
      <c r="F3" s="6"/>
      <c r="G3" s="6"/>
      <c r="H3" s="6"/>
      <c r="I3" s="4"/>
      <c r="J3" s="6"/>
      <c r="K3" s="4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2"/>
      <c r="AD3" s="2"/>
      <c r="AE3" s="2"/>
      <c r="AF3" s="2"/>
    </row>
    <row r="4" spans="1:32" ht="24.75" customHeight="1" x14ac:dyDescent="0.25">
      <c r="A4" s="4"/>
      <c r="B4" s="4"/>
      <c r="C4" s="4"/>
      <c r="D4" s="7" t="s">
        <v>1</v>
      </c>
      <c r="E4" s="8" t="s">
        <v>2</v>
      </c>
      <c r="F4" s="9" t="s">
        <v>3</v>
      </c>
      <c r="G4" s="10" t="s">
        <v>4</v>
      </c>
      <c r="H4" s="11" t="s">
        <v>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2"/>
      <c r="AD4" s="2"/>
      <c r="AE4" s="2"/>
      <c r="AF4" s="2"/>
    </row>
    <row r="5" spans="1:32" ht="24.75" customHeight="1" x14ac:dyDescent="0.25">
      <c r="A5" s="4"/>
      <c r="B5" s="4"/>
      <c r="C5" s="12" t="s">
        <v>6</v>
      </c>
      <c r="D5" s="13">
        <f>COUNTIFS(F13:F37,"Not Started",G13:G37,"High")</f>
        <v>0</v>
      </c>
      <c r="E5" s="14">
        <f>COUNTIFS(F13:F37,"Not Started",G13:G37,"Medium")</f>
        <v>0</v>
      </c>
      <c r="F5" s="15">
        <f>COUNTIFS(F13:F37,"Not Started",G13:G37,"Low")</f>
        <v>0</v>
      </c>
      <c r="G5" s="16">
        <f t="shared" ref="G5:G9" si="0">SUM(D5:F5)</f>
        <v>0</v>
      </c>
      <c r="H5" s="17" t="str">
        <f t="shared" ref="H5:H9" si="1">IFERROR(G5/G10,"0%")</f>
        <v>0%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"/>
      <c r="AD5" s="2"/>
      <c r="AE5" s="2"/>
      <c r="AF5" s="2"/>
    </row>
    <row r="6" spans="1:32" ht="24.75" customHeight="1" x14ac:dyDescent="0.25">
      <c r="A6" s="4"/>
      <c r="B6" s="4"/>
      <c r="C6" s="18" t="s">
        <v>7</v>
      </c>
      <c r="D6" s="13">
        <f>COUNTIFS(F13:F37,"In Progress",G13:G37,"High")</f>
        <v>0</v>
      </c>
      <c r="E6" s="14">
        <f>COUNTIFS(F13:F37,"In Progress",G13:G37,"Medium")</f>
        <v>0</v>
      </c>
      <c r="F6" s="15">
        <f>COUNTIFS(F13:F37,"In Progress",G13:G37,"Low")</f>
        <v>0</v>
      </c>
      <c r="G6" s="19">
        <f t="shared" si="0"/>
        <v>0</v>
      </c>
      <c r="H6" s="17" t="str">
        <f t="shared" si="1"/>
        <v>0%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2"/>
      <c r="AD6" s="2"/>
      <c r="AE6" s="2"/>
      <c r="AF6" s="2"/>
    </row>
    <row r="7" spans="1:32" ht="24.75" customHeight="1" x14ac:dyDescent="0.25">
      <c r="A7" s="4"/>
      <c r="B7" s="4"/>
      <c r="C7" s="18" t="s">
        <v>8</v>
      </c>
      <c r="D7" s="13">
        <f>COUNTIFS(F13:F37,"Complete",G13:G37,"High")</f>
        <v>0</v>
      </c>
      <c r="E7" s="14">
        <f>COUNTIFS(F13:F37,"Complete",G13:G37,"Medium")</f>
        <v>0</v>
      </c>
      <c r="F7" s="15">
        <f>COUNTIFS(F13:F37,"Complete",G13:G37,"Low")</f>
        <v>0</v>
      </c>
      <c r="G7" s="20">
        <f t="shared" si="0"/>
        <v>0</v>
      </c>
      <c r="H7" s="17" t="str">
        <f t="shared" si="1"/>
        <v>0%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"/>
      <c r="AD7" s="2"/>
      <c r="AE7" s="2"/>
      <c r="AF7" s="2"/>
    </row>
    <row r="8" spans="1:32" ht="24.75" customHeight="1" x14ac:dyDescent="0.25">
      <c r="A8" s="4"/>
      <c r="B8" s="4"/>
      <c r="C8" s="21" t="s">
        <v>9</v>
      </c>
      <c r="D8" s="13">
        <f>COUNTIFS(F13:F37,"On Hold",G13:G37,"High")</f>
        <v>0</v>
      </c>
      <c r="E8" s="14">
        <f>COUNTIFS(F13:F37,"On Hold",G13:G37,"Medium")</f>
        <v>0</v>
      </c>
      <c r="F8" s="15">
        <f>COUNTIFS(F13:F37,"On Hold",G13:G37,"Low")</f>
        <v>0</v>
      </c>
      <c r="G8" s="22">
        <f t="shared" si="0"/>
        <v>0</v>
      </c>
      <c r="H8" s="17" t="str">
        <f t="shared" si="1"/>
        <v>0%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2"/>
      <c r="AD8" s="2"/>
      <c r="AE8" s="2"/>
      <c r="AF8" s="2"/>
    </row>
    <row r="9" spans="1:32" ht="24.75" customHeight="1" x14ac:dyDescent="0.25">
      <c r="A9" s="4"/>
      <c r="B9" s="4"/>
      <c r="C9" s="23" t="s">
        <v>10</v>
      </c>
      <c r="D9" s="24">
        <f>COUNTIFS(F13:F37,"Overdue",G13:G37,"High")</f>
        <v>0</v>
      </c>
      <c r="E9" s="25">
        <f>COUNTIFS(F13:F37,"Overdue",G13:G37,"Medium")</f>
        <v>0</v>
      </c>
      <c r="F9" s="26">
        <f>COUNTIFS(F13:F37,"Overdue",G13:G37,"Low")</f>
        <v>0</v>
      </c>
      <c r="G9" s="27">
        <f t="shared" si="0"/>
        <v>0</v>
      </c>
      <c r="H9" s="17" t="str">
        <f t="shared" si="1"/>
        <v>0%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2"/>
      <c r="AD9" s="2"/>
      <c r="AE9" s="2"/>
      <c r="AF9" s="2"/>
    </row>
    <row r="10" spans="1:32" ht="24.75" customHeight="1" x14ac:dyDescent="0.25">
      <c r="A10" s="4"/>
      <c r="B10" s="4"/>
      <c r="C10" s="28" t="s">
        <v>11</v>
      </c>
      <c r="D10" s="29">
        <f t="shared" ref="D10:G10" si="2">SUM(D5:D9)</f>
        <v>0</v>
      </c>
      <c r="E10" s="30">
        <f t="shared" si="2"/>
        <v>0</v>
      </c>
      <c r="F10" s="31">
        <f t="shared" si="2"/>
        <v>0</v>
      </c>
      <c r="G10" s="32">
        <f t="shared" si="2"/>
        <v>0</v>
      </c>
      <c r="H10" s="3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"/>
      <c r="AD10" s="2"/>
      <c r="AE10" s="2"/>
      <c r="AF10" s="2"/>
    </row>
    <row r="11" spans="1:32" ht="19.5" customHeight="1" x14ac:dyDescent="0.25">
      <c r="A11" s="4"/>
      <c r="B11" s="4"/>
      <c r="C11" s="44" t="s">
        <v>53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34.5" customHeight="1" x14ac:dyDescent="0.25">
      <c r="A12" s="11"/>
      <c r="B12" s="35" t="s">
        <v>13</v>
      </c>
      <c r="C12" s="35" t="s">
        <v>14</v>
      </c>
      <c r="D12" s="36" t="s">
        <v>15</v>
      </c>
      <c r="E12" s="37" t="s">
        <v>16</v>
      </c>
      <c r="F12" s="35" t="s">
        <v>17</v>
      </c>
      <c r="G12" s="35" t="s">
        <v>18</v>
      </c>
      <c r="H12" s="36" t="s">
        <v>19</v>
      </c>
      <c r="I12" s="11"/>
      <c r="J12" s="35" t="s">
        <v>20</v>
      </c>
      <c r="K12" s="11"/>
      <c r="L12" s="35" t="s">
        <v>21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ht="24.75" customHeight="1" x14ac:dyDescent="0.25">
      <c r="A13" s="11"/>
      <c r="B13" s="38"/>
      <c r="C13" s="39"/>
      <c r="D13" s="9"/>
      <c r="E13" s="40"/>
      <c r="F13" s="8"/>
      <c r="G13" s="8"/>
      <c r="H13" s="9"/>
      <c r="I13" s="11"/>
      <c r="J13" s="7" t="s">
        <v>6</v>
      </c>
      <c r="K13" s="11"/>
      <c r="L13" s="7" t="s">
        <v>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ht="24.75" customHeight="1" x14ac:dyDescent="0.25">
      <c r="A14" s="11"/>
      <c r="B14" s="38"/>
      <c r="C14" s="39"/>
      <c r="D14" s="9"/>
      <c r="E14" s="40"/>
      <c r="F14" s="8"/>
      <c r="G14" s="8"/>
      <c r="H14" s="9"/>
      <c r="I14" s="11"/>
      <c r="J14" s="8" t="s">
        <v>7</v>
      </c>
      <c r="K14" s="11"/>
      <c r="L14" s="8" t="s">
        <v>2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ht="24.75" customHeight="1" x14ac:dyDescent="0.25">
      <c r="A15" s="11"/>
      <c r="B15" s="38"/>
      <c r="C15" s="39"/>
      <c r="D15" s="9"/>
      <c r="E15" s="40"/>
      <c r="F15" s="8"/>
      <c r="G15" s="8"/>
      <c r="H15" s="9"/>
      <c r="I15" s="11"/>
      <c r="J15" s="8" t="s">
        <v>8</v>
      </c>
      <c r="K15" s="11"/>
      <c r="L15" s="8" t="s">
        <v>3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ht="24.75" customHeight="1" x14ac:dyDescent="0.25">
      <c r="A16" s="11"/>
      <c r="B16" s="38"/>
      <c r="C16" s="39"/>
      <c r="D16" s="41"/>
      <c r="E16" s="40"/>
      <c r="F16" s="39"/>
      <c r="G16" s="39"/>
      <c r="H16" s="41"/>
      <c r="I16" s="11"/>
      <c r="J16" s="39" t="s">
        <v>9</v>
      </c>
      <c r="K16" s="11"/>
      <c r="L16" s="39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24.75" customHeight="1" x14ac:dyDescent="0.25">
      <c r="A17" s="11"/>
      <c r="B17" s="38"/>
      <c r="C17" s="39"/>
      <c r="D17" s="9"/>
      <c r="E17" s="40"/>
      <c r="F17" s="8"/>
      <c r="G17" s="8"/>
      <c r="H17" s="9"/>
      <c r="I17" s="11"/>
      <c r="J17" s="42" t="s">
        <v>10</v>
      </c>
      <c r="K17" s="11"/>
      <c r="L17" s="4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ht="24.75" customHeight="1" x14ac:dyDescent="0.25">
      <c r="A18" s="11"/>
      <c r="B18" s="38"/>
      <c r="C18" s="39"/>
      <c r="D18" s="9"/>
      <c r="E18" s="40"/>
      <c r="F18" s="8"/>
      <c r="G18" s="8"/>
      <c r="H18" s="9"/>
      <c r="I18" s="11"/>
      <c r="J18" s="39"/>
      <c r="K18" s="11"/>
      <c r="L18" s="4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ht="24.75" customHeight="1" x14ac:dyDescent="0.25">
      <c r="A19" s="11"/>
      <c r="B19" s="38"/>
      <c r="C19" s="39"/>
      <c r="D19" s="9"/>
      <c r="E19" s="40"/>
      <c r="F19" s="8"/>
      <c r="G19" s="8"/>
      <c r="H19" s="9"/>
      <c r="I19" s="11"/>
      <c r="J19" s="4"/>
      <c r="K19" s="11"/>
      <c r="L19" s="4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ht="24.75" customHeight="1" x14ac:dyDescent="0.25">
      <c r="A20" s="11"/>
      <c r="B20" s="38"/>
      <c r="C20" s="39"/>
      <c r="D20" s="9"/>
      <c r="E20" s="40"/>
      <c r="F20" s="8"/>
      <c r="G20" s="8"/>
      <c r="H20" s="9"/>
      <c r="I20" s="11"/>
      <c r="J20" s="4"/>
      <c r="K20" s="11"/>
      <c r="L20" s="4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24.75" customHeight="1" x14ac:dyDescent="0.25">
      <c r="A21" s="11"/>
      <c r="B21" s="38"/>
      <c r="C21" s="39"/>
      <c r="D21" s="9"/>
      <c r="E21" s="40"/>
      <c r="F21" s="8"/>
      <c r="G21" s="8"/>
      <c r="H21" s="9"/>
      <c r="I21" s="11"/>
      <c r="J21" s="4"/>
      <c r="K21" s="11"/>
      <c r="L21" s="4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ht="24.75" customHeight="1" x14ac:dyDescent="0.25">
      <c r="A22" s="11"/>
      <c r="B22" s="38"/>
      <c r="C22" s="39"/>
      <c r="D22" s="9"/>
      <c r="E22" s="40"/>
      <c r="F22" s="8"/>
      <c r="G22" s="8"/>
      <c r="H22" s="9"/>
      <c r="I22" s="11"/>
      <c r="J22" s="4"/>
      <c r="K22" s="11"/>
      <c r="L22" s="4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24.75" customHeight="1" x14ac:dyDescent="0.25">
      <c r="A23" s="11"/>
      <c r="B23" s="38"/>
      <c r="C23" s="39"/>
      <c r="D23" s="9"/>
      <c r="E23" s="40"/>
      <c r="F23" s="8"/>
      <c r="G23" s="8"/>
      <c r="H23" s="9"/>
      <c r="I23" s="11"/>
      <c r="J23" s="4"/>
      <c r="K23" s="11"/>
      <c r="L23" s="4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ht="24.75" customHeight="1" x14ac:dyDescent="0.25">
      <c r="A24" s="11"/>
      <c r="B24" s="38"/>
      <c r="C24" s="39"/>
      <c r="D24" s="9"/>
      <c r="E24" s="40"/>
      <c r="F24" s="8"/>
      <c r="G24" s="8"/>
      <c r="H24" s="9"/>
      <c r="I24" s="11"/>
      <c r="J24" s="4"/>
      <c r="K24" s="11"/>
      <c r="L24" s="4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24.75" customHeight="1" x14ac:dyDescent="0.25">
      <c r="A25" s="11"/>
      <c r="B25" s="38"/>
      <c r="C25" s="39"/>
      <c r="D25" s="9"/>
      <c r="E25" s="40"/>
      <c r="F25" s="8"/>
      <c r="G25" s="8"/>
      <c r="H25" s="9"/>
      <c r="I25" s="11"/>
      <c r="J25" s="4"/>
      <c r="K25" s="11"/>
      <c r="L25" s="4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ht="24.75" customHeight="1" x14ac:dyDescent="0.25">
      <c r="A26" s="11"/>
      <c r="B26" s="38"/>
      <c r="C26" s="39"/>
      <c r="D26" s="9"/>
      <c r="E26" s="40"/>
      <c r="F26" s="8"/>
      <c r="G26" s="8"/>
      <c r="H26" s="9"/>
      <c r="I26" s="11"/>
      <c r="J26" s="4"/>
      <c r="K26" s="11"/>
      <c r="L26" s="4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ht="24.75" customHeight="1" x14ac:dyDescent="0.25">
      <c r="A27" s="11"/>
      <c r="B27" s="38"/>
      <c r="C27" s="39"/>
      <c r="D27" s="9"/>
      <c r="E27" s="40"/>
      <c r="F27" s="8"/>
      <c r="G27" s="8"/>
      <c r="H27" s="9"/>
      <c r="I27" s="11"/>
      <c r="J27" s="4"/>
      <c r="K27" s="11"/>
      <c r="L27" s="4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ht="24.75" customHeight="1" x14ac:dyDescent="0.25">
      <c r="A28" s="11"/>
      <c r="B28" s="38"/>
      <c r="C28" s="39"/>
      <c r="D28" s="9"/>
      <c r="E28" s="40"/>
      <c r="F28" s="8"/>
      <c r="G28" s="8"/>
      <c r="H28" s="9"/>
      <c r="I28" s="11"/>
      <c r="J28" s="4"/>
      <c r="K28" s="11"/>
      <c r="L28" s="4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ht="24.75" customHeight="1" x14ac:dyDescent="0.25">
      <c r="A29" s="11"/>
      <c r="B29" s="38"/>
      <c r="C29" s="39"/>
      <c r="D29" s="9"/>
      <c r="E29" s="40"/>
      <c r="F29" s="8"/>
      <c r="G29" s="8"/>
      <c r="H29" s="9"/>
      <c r="I29" s="11"/>
      <c r="J29" s="4"/>
      <c r="K29" s="11"/>
      <c r="L29" s="4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ht="24.75" customHeight="1" x14ac:dyDescent="0.25">
      <c r="A30" s="11"/>
      <c r="B30" s="38"/>
      <c r="C30" s="39"/>
      <c r="D30" s="9"/>
      <c r="E30" s="40"/>
      <c r="F30" s="8"/>
      <c r="G30" s="8"/>
      <c r="H30" s="9"/>
      <c r="I30" s="11"/>
      <c r="J30" s="4"/>
      <c r="K30" s="11"/>
      <c r="L30" s="4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24.75" customHeight="1" x14ac:dyDescent="0.25">
      <c r="A31" s="11"/>
      <c r="B31" s="38"/>
      <c r="C31" s="39"/>
      <c r="D31" s="9"/>
      <c r="E31" s="40"/>
      <c r="F31" s="8"/>
      <c r="G31" s="8"/>
      <c r="H31" s="9"/>
      <c r="I31" s="11"/>
      <c r="J31" s="4"/>
      <c r="K31" s="11"/>
      <c r="L31" s="4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24.75" customHeight="1" x14ac:dyDescent="0.25">
      <c r="A32" s="11"/>
      <c r="B32" s="38"/>
      <c r="C32" s="39"/>
      <c r="D32" s="9"/>
      <c r="E32" s="40"/>
      <c r="F32" s="8"/>
      <c r="G32" s="8"/>
      <c r="H32" s="9"/>
      <c r="I32" s="11"/>
      <c r="J32" s="4"/>
      <c r="K32" s="11"/>
      <c r="L32" s="4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24.75" customHeight="1" x14ac:dyDescent="0.25">
      <c r="A33" s="11"/>
      <c r="B33" s="38"/>
      <c r="C33" s="39"/>
      <c r="D33" s="9"/>
      <c r="E33" s="40"/>
      <c r="F33" s="8"/>
      <c r="G33" s="8"/>
      <c r="H33" s="9"/>
      <c r="I33" s="11"/>
      <c r="J33" s="4"/>
      <c r="K33" s="11"/>
      <c r="L33" s="4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24.75" customHeight="1" x14ac:dyDescent="0.25">
      <c r="A34" s="11"/>
      <c r="B34" s="38"/>
      <c r="C34" s="39"/>
      <c r="D34" s="9"/>
      <c r="E34" s="40"/>
      <c r="F34" s="8"/>
      <c r="G34" s="8"/>
      <c r="H34" s="9"/>
      <c r="I34" s="11"/>
      <c r="J34" s="4"/>
      <c r="K34" s="11"/>
      <c r="L34" s="4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24.75" customHeight="1" x14ac:dyDescent="0.25">
      <c r="A35" s="11"/>
      <c r="B35" s="38"/>
      <c r="C35" s="39"/>
      <c r="D35" s="9"/>
      <c r="E35" s="40"/>
      <c r="F35" s="8"/>
      <c r="G35" s="8"/>
      <c r="H35" s="9"/>
      <c r="I35" s="11"/>
      <c r="J35" s="4"/>
      <c r="K35" s="11"/>
      <c r="L35" s="4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24.75" customHeight="1" x14ac:dyDescent="0.25">
      <c r="A36" s="11"/>
      <c r="B36" s="38"/>
      <c r="C36" s="39"/>
      <c r="D36" s="9"/>
      <c r="E36" s="40"/>
      <c r="F36" s="8"/>
      <c r="G36" s="8"/>
      <c r="H36" s="9"/>
      <c r="I36" s="11"/>
      <c r="J36" s="4"/>
      <c r="K36" s="11"/>
      <c r="L36" s="4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24.75" customHeight="1" x14ac:dyDescent="0.25">
      <c r="A37" s="11"/>
      <c r="B37" s="38"/>
      <c r="C37" s="39"/>
      <c r="D37" s="9"/>
      <c r="E37" s="40"/>
      <c r="F37" s="8"/>
      <c r="G37" s="8"/>
      <c r="H37" s="9"/>
      <c r="I37" s="11"/>
      <c r="J37" s="4"/>
      <c r="K37" s="11"/>
      <c r="L37" s="4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2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2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2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2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2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 spans="1:32" ht="12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 spans="1:32" ht="12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</sheetData>
  <mergeCells count="2">
    <mergeCell ref="B1:C2"/>
    <mergeCell ref="D1:E2"/>
  </mergeCells>
  <conditionalFormatting sqref="C5:C9">
    <cfRule type="containsText" dxfId="15" priority="9" operator="containsText" text="Overdue">
      <formula>NOT(ISERROR(SEARCH(("Overdue"),(C5))))</formula>
    </cfRule>
    <cfRule type="containsText" dxfId="14" priority="10" operator="containsText" text="On Hold">
      <formula>NOT(ISERROR(SEARCH(("On Hold"),(C5))))</formula>
    </cfRule>
    <cfRule type="containsText" dxfId="13" priority="11" operator="containsText" text="Complete">
      <formula>NOT(ISERROR(SEARCH(("Complete"),(C5))))</formula>
    </cfRule>
    <cfRule type="containsText" dxfId="12" priority="12" operator="containsText" text="In Progress">
      <formula>NOT(ISERROR(SEARCH(("In Progress"),(C5))))</formula>
    </cfRule>
    <cfRule type="containsText" dxfId="11" priority="13" operator="containsText" text="Not Started">
      <formula>NOT(ISERROR(SEARCH(("Not Started"),(C5))))</formula>
    </cfRule>
  </conditionalFormatting>
  <conditionalFormatting sqref="D4:F4">
    <cfRule type="containsText" dxfId="10" priority="14" operator="containsText" text="Low">
      <formula>NOT(ISERROR(SEARCH(("Low"),(D4))))</formula>
    </cfRule>
    <cfRule type="containsText" dxfId="9" priority="15" operator="containsText" text="Medium">
      <formula>NOT(ISERROR(SEARCH(("Medium"),(D4))))</formula>
    </cfRule>
    <cfRule type="containsText" dxfId="8" priority="16" operator="containsText" text="High">
      <formula>NOT(ISERROR(SEARCH(("High"),(D4))))</formula>
    </cfRule>
  </conditionalFormatting>
  <conditionalFormatting sqref="J13:J18 F13:F37">
    <cfRule type="containsText" dxfId="7" priority="1" operator="containsText" text="Overdue">
      <formula>NOT(ISERROR(SEARCH(("Overdue"),(F13))))</formula>
    </cfRule>
    <cfRule type="containsText" dxfId="6" priority="2" operator="containsText" text="On Hold">
      <formula>NOT(ISERROR(SEARCH(("On Hold"),(F13))))</formula>
    </cfRule>
    <cfRule type="containsText" dxfId="5" priority="3" operator="containsText" text="Complete">
      <formula>NOT(ISERROR(SEARCH(("Complete"),(F13))))</formula>
    </cfRule>
    <cfRule type="containsText" dxfId="4" priority="4" operator="containsText" text="In Progress">
      <formula>NOT(ISERROR(SEARCH(("In Progress"),(F13))))</formula>
    </cfRule>
    <cfRule type="containsText" dxfId="3" priority="5" operator="containsText" text="Not Started">
      <formula>NOT(ISERROR(SEARCH(("Not Started"),(F13))))</formula>
    </cfRule>
  </conditionalFormatting>
  <conditionalFormatting sqref="L13:L16 G13:G37">
    <cfRule type="containsText" dxfId="2" priority="6" operator="containsText" text="Low">
      <formula>NOT(ISERROR(SEARCH(("Low"),(G13))))</formula>
    </cfRule>
    <cfRule type="containsText" dxfId="1" priority="7" operator="containsText" text="Medium">
      <formula>NOT(ISERROR(SEARCH(("Medium"),(G13))))</formula>
    </cfRule>
    <cfRule type="containsText" dxfId="0" priority="8" operator="containsText" text="High">
      <formula>NOT(ISERROR(SEARCH(("High"),(G13))))</formula>
    </cfRule>
  </conditionalFormatting>
  <dataValidations count="2">
    <dataValidation type="list" allowBlank="1" showErrorMessage="1" sqref="G13:G37" xr:uid="{00000000-0002-0000-0100-000000000000}">
      <formula1>$L$13:$L$16</formula1>
    </dataValidation>
    <dataValidation type="list" allowBlank="1" showErrorMessage="1" sqref="F13:F37" xr:uid="{00000000-0002-0000-0100-000001000000}">
      <formula1>$J$13:$J$18</formula1>
    </dataValidation>
  </dataValidations>
  <pageMargins left="0.3" right="0.3" top="0.3" bottom="0.3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Ví dụ - Project Risk</vt:lpstr>
      <vt:lpstr>BLANK - Project 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Nguyễn Mạnh Tuấn</cp:lastModifiedBy>
  <dcterms:created xsi:type="dcterms:W3CDTF">2015-02-24T20:54:23Z</dcterms:created>
  <dcterms:modified xsi:type="dcterms:W3CDTF">2025-10-10T04:20:38Z</dcterms:modified>
</cp:coreProperties>
</file>