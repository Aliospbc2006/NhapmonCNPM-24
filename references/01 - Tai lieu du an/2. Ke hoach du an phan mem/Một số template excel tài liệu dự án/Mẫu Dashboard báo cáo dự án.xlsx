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AI LIEU GIANG DAY\BAI GIANG CAC MON\IT4080 - Nhap mon Cong nghe phan mem\Soạn bài tập NM CNPM 2020\Bai tap tuan 04\{SlimCRM}Mẫu file excel quản lý dự án\"/>
    </mc:Choice>
  </mc:AlternateContent>
  <xr:revisionPtr revIDLastSave="0" documentId="13_ncr:1_{220A5DAA-4443-4945-A8F6-9C3F10E4B0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D MẪU DASHBOARD BÁO CÁO DỰ ÁN" sheetId="2" r:id="rId1"/>
    <sheet name="MẪU DASHBOARD BÁO CÁO DỰ Á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9smBl1KvKpPn6raQC55zW2jM1v+hb36CQOGlLxcTyz0="/>
    </ext>
  </extLst>
</workbook>
</file>

<file path=xl/calcChain.xml><?xml version="1.0" encoding="utf-8"?>
<calcChain xmlns="http://schemas.openxmlformats.org/spreadsheetml/2006/main">
  <c r="C46" i="3" l="1"/>
  <c r="C45" i="3"/>
  <c r="C44" i="3"/>
  <c r="C43" i="3"/>
  <c r="C38" i="3"/>
  <c r="D38" i="3" s="1"/>
  <c r="C37" i="3"/>
  <c r="D37" i="3" s="1"/>
  <c r="C36" i="3"/>
  <c r="D36" i="3" s="1"/>
  <c r="C35" i="3"/>
  <c r="D35" i="3" s="1"/>
  <c r="C34" i="3"/>
  <c r="C39" i="3" s="1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C38" i="2"/>
  <c r="C37" i="2"/>
  <c r="C36" i="2"/>
  <c r="C35" i="2"/>
  <c r="C31" i="2"/>
  <c r="C30" i="2"/>
  <c r="D30" i="2" s="1"/>
  <c r="C29" i="2"/>
  <c r="D29" i="2" s="1"/>
  <c r="C28" i="2"/>
  <c r="D28" i="2" s="1"/>
  <c r="C27" i="2"/>
  <c r="D27" i="2" s="1"/>
  <c r="C26" i="2"/>
  <c r="D26" i="2" s="1"/>
  <c r="D31" i="2" s="1"/>
  <c r="F22" i="2"/>
  <c r="F21" i="2"/>
  <c r="F20" i="2"/>
  <c r="F19" i="2"/>
  <c r="F18" i="2"/>
  <c r="F17" i="2"/>
  <c r="F16" i="2"/>
  <c r="F15" i="2"/>
  <c r="F14" i="2"/>
  <c r="F13" i="2"/>
  <c r="F12" i="2"/>
  <c r="F11" i="2"/>
  <c r="D38" i="2" l="1"/>
  <c r="D44" i="3"/>
  <c r="D45" i="3"/>
  <c r="D35" i="2"/>
  <c r="D46" i="3"/>
  <c r="D34" i="3"/>
  <c r="D39" i="3" s="1"/>
  <c r="C39" i="2"/>
  <c r="D36" i="2" s="1"/>
  <c r="C47" i="3"/>
  <c r="D43" i="3" s="1"/>
  <c r="D47" i="3" s="1"/>
  <c r="D37" i="2" l="1"/>
  <c r="D39" i="2" s="1"/>
</calcChain>
</file>

<file path=xl/sharedStrings.xml><?xml version="1.0" encoding="utf-8"?>
<sst xmlns="http://schemas.openxmlformats.org/spreadsheetml/2006/main" count="162" uniqueCount="84">
  <si>
    <t>MẪU DASHBOARD BÁO CÁO DỰ ÁN</t>
  </si>
  <si>
    <t>TÊN DỰ ÁN</t>
  </si>
  <si>
    <t>NGÀY</t>
  </si>
  <si>
    <t>TRẠNG THÁI DỰ ÁN</t>
  </si>
  <si>
    <t>% HOÀN THIỆN</t>
  </si>
  <si>
    <t>00/00/00</t>
  </si>
  <si>
    <t>TASK TIMELINE</t>
  </si>
  <si>
    <t>DASHBOARD DATA</t>
  </si>
  <si>
    <t>TASK TABLE</t>
  </si>
  <si>
    <t>TASK NAME</t>
  </si>
  <si>
    <t>ASSIGNED TO</t>
  </si>
  <si>
    <t>NGÀY BẮT ĐẦU</t>
  </si>
  <si>
    <t>NGÀY KẾT THÚC</t>
  </si>
  <si>
    <t>KHOẢNG THỜI GIAN</t>
  </si>
  <si>
    <t>TÌNH TRẠNG</t>
  </si>
  <si>
    <t>MỨC ƯU TIÊN</t>
  </si>
  <si>
    <t>BÌNH LUẬN</t>
  </si>
  <si>
    <t>Lên lịch họp khởi động dự án</t>
  </si>
  <si>
    <t>Overdue</t>
  </si>
  <si>
    <t>High</t>
  </si>
  <si>
    <t>Not Started</t>
  </si>
  <si>
    <t>Thống nhất mục tiêu</t>
  </si>
  <si>
    <t>Complete</t>
  </si>
  <si>
    <t>Medium</t>
  </si>
  <si>
    <t>In Progress</t>
  </si>
  <si>
    <t>Yêu cầu chi tiết</t>
  </si>
  <si>
    <t>Low</t>
  </si>
  <si>
    <t>Yêu cầu phần cứng</t>
  </si>
  <si>
    <t>Kế hoạch nguồn lực cuối cùng</t>
  </si>
  <si>
    <t>On Hold</t>
  </si>
  <si>
    <t>Nhân sự</t>
  </si>
  <si>
    <t>Yêu cầu kỹ thuật</t>
  </si>
  <si>
    <t>Testing</t>
  </si>
  <si>
    <t>Dev. Complete</t>
  </si>
  <si>
    <t>Cấu hình phần cứng</t>
  </si>
  <si>
    <t>Thử nghiệm hệ thống</t>
  </si>
  <si>
    <t>Ra mắt sản phẩm</t>
  </si>
  <si>
    <t>TÌNH TRẠNG NHIỆM VỤ %</t>
  </si>
  <si>
    <t>NGÂN SÁCH</t>
  </si>
  <si>
    <t>SỐ LƯỢNG</t>
  </si>
  <si>
    <t>%</t>
  </si>
  <si>
    <t>DỰ KIẾN</t>
  </si>
  <si>
    <t>Not Started (Chưa bắt đầu)</t>
  </si>
  <si>
    <t>THỰC TẾ</t>
  </si>
  <si>
    <t>In Progress (Đang làm)</t>
  </si>
  <si>
    <t>Complete (Hoàn thiện)</t>
  </si>
  <si>
    <t>Overdue (Qúa hạn)</t>
  </si>
  <si>
    <t>On Hold (Đang chờ)</t>
  </si>
  <si>
    <t>TỔNG</t>
  </si>
  <si>
    <t>MỨC ĐỘ ƯU TIÊN %</t>
  </si>
  <si>
    <t>CÁC MỤC ĐANG CHỜ</t>
  </si>
  <si>
    <t xml:space="preserve">MỨC ĐỘ ƯU TIÊN </t>
  </si>
  <si>
    <t>Decisions</t>
  </si>
  <si>
    <t>Actions</t>
  </si>
  <si>
    <t xml:space="preserve">Change Requests </t>
  </si>
  <si>
    <t>TOTAL</t>
  </si>
  <si>
    <t>Nhập DỮ LIỆU BẢNG ĐIỀU KHIỂN vào các bảng bắt đầu từ hàng 8. Đồ họa trên trang tổng quan sẽ tự động được điền.</t>
  </si>
  <si>
    <t>TIMELINE NHIỆM VỤ</t>
  </si>
  <si>
    <t>DỮ LIỆU DASHBOARD</t>
  </si>
  <si>
    <t>BẢNG NHIỆM VỤ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</si>
  <si>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</si>
  <si>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</si>
  <si>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</si>
  <si>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</si>
  <si>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</si>
  <si>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</si>
  <si>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</si>
  <si>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</si>
  <si>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</si>
  <si>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</si>
  <si>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Task 11</t>
  </si>
  <si>
    <t>Task 12</t>
  </si>
  <si>
    <t>Task 13</t>
  </si>
  <si>
    <t>Task 14</t>
  </si>
  <si>
    <t>Task 15</t>
  </si>
  <si>
    <t>Task 16</t>
  </si>
  <si>
    <t>Task 17</t>
  </si>
  <si>
    <t>Task 18</t>
  </si>
  <si>
    <t>Task 19</t>
  </si>
  <si>
    <t>Task 20</t>
  </si>
  <si>
    <t>STATUS</t>
  </si>
  <si>
    <t>Tự động tính</t>
  </si>
  <si>
    <t>PENDING ITEMS</t>
  </si>
  <si>
    <t>Mức độ ưu tiên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</si>
</sst>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mm/dd"/>
    <numFmt numFmtId="166" formatCode="m/d"/>
  </numFmts>
  <fonts count="13">
    <font>
      <sz val="12"/>
      <color theme="1"/>
      <name val="Arial"/>
      <scheme val="minor"/>
    </font>
    <font>
      <sz val="10"/>
      <color theme="1"/>
      <name val="Lexend"/>
    </font>
    <font>
      <b/>
      <sz val="20"/>
      <color rgb="FF7F7F7F"/>
      <name val="Lexend"/>
    </font>
    <font>
      <sz val="12"/>
      <color theme="1"/>
      <name val="Lexend"/>
    </font>
    <font>
      <sz val="11"/>
      <color theme="1"/>
      <name val="Lexend"/>
    </font>
    <font>
      <b/>
      <sz val="13"/>
      <color theme="1"/>
      <name val="Lexend"/>
    </font>
    <font>
      <b/>
      <sz val="18"/>
      <color theme="1"/>
      <name val="Lexend"/>
    </font>
    <font>
      <sz val="22"/>
      <color theme="1"/>
      <name val="Lexend"/>
    </font>
    <font>
      <sz val="16"/>
      <color theme="1"/>
      <name val="Lexend"/>
    </font>
    <font>
      <b/>
      <sz val="10"/>
      <color theme="0"/>
      <name val="Lexend"/>
    </font>
    <font>
      <sz val="10"/>
      <color rgb="FF000000"/>
      <name val="Lexend"/>
    </font>
    <font>
      <b/>
      <sz val="10"/>
      <color theme="1"/>
      <name val="Lexend"/>
    </font>
    <font>
      <sz val="20"/>
      <color theme="1"/>
      <name val="Lexend"/>
    </font>
  </fonts>
  <fills count="1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22A35"/>
        <bgColor rgb="FF222A35"/>
      </patternFill>
    </fill>
    <fill>
      <patternFill patternType="solid">
        <fgColor rgb="FF44546A"/>
        <bgColor rgb="FF44546A"/>
      </patternFill>
    </fill>
    <fill>
      <patternFill patternType="solid">
        <fgColor rgb="FF333F4F"/>
        <bgColor rgb="FF333F4F"/>
      </patternFill>
    </fill>
    <fill>
      <patternFill patternType="solid">
        <fgColor rgb="FFF2F2F2"/>
        <bgColor rgb="FFF2F2F2"/>
      </patternFill>
    </fill>
    <fill>
      <patternFill patternType="solid">
        <fgColor rgb="FFD6DCE4"/>
        <bgColor rgb="FFD6DCE4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00B0F0"/>
        <bgColor rgb="FF00B0F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9CC2E5"/>
        <bgColor rgb="FF9CC2E5"/>
      </patternFill>
    </fill>
    <fill>
      <patternFill patternType="solid">
        <fgColor rgb="FF00BD32"/>
        <bgColor rgb="FF00BD32"/>
      </patternFill>
    </fill>
    <fill>
      <patternFill patternType="solid">
        <fgColor rgb="FF93CF31"/>
        <bgColor rgb="FF93CF31"/>
      </patternFill>
    </fill>
    <fill>
      <patternFill patternType="solid">
        <fgColor rgb="FFE7E6E6"/>
        <bgColor rgb="FFE7E6E6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3" fillId="0" borderId="0" xfId="0" applyFont="1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10" fontId="4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164" fontId="5" fillId="2" borderId="5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9" fontId="5" fillId="2" borderId="5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9" fontId="5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left" vertical="center" wrapText="1" readingOrder="1"/>
    </xf>
    <xf numFmtId="0" fontId="1" fillId="2" borderId="6" xfId="0" applyFont="1" applyFill="1" applyBorder="1" applyAlignment="1">
      <alignment horizontal="left" vertical="center" wrapText="1"/>
    </xf>
    <xf numFmtId="165" fontId="1" fillId="6" borderId="6" xfId="0" applyNumberFormat="1" applyFont="1" applyFill="1" applyBorder="1" applyAlignment="1">
      <alignment horizontal="center" vertical="center" wrapText="1"/>
    </xf>
    <xf numFmtId="1" fontId="1" fillId="7" borderId="6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7" borderId="6" xfId="0" applyFont="1" applyFill="1" applyBorder="1" applyAlignment="1">
      <alignment horizontal="left" vertical="center" wrapText="1"/>
    </xf>
    <xf numFmtId="0" fontId="1" fillId="8" borderId="6" xfId="0" applyFont="1" applyFill="1" applyBorder="1" applyAlignment="1">
      <alignment horizontal="left" vertical="center" wrapText="1"/>
    </xf>
    <xf numFmtId="166" fontId="10" fillId="2" borderId="6" xfId="0" applyNumberFormat="1" applyFont="1" applyFill="1" applyBorder="1" applyAlignment="1">
      <alignment horizontal="left" vertical="center" wrapText="1" readingOrder="1"/>
    </xf>
    <xf numFmtId="165" fontId="10" fillId="6" borderId="6" xfId="0" applyNumberFormat="1" applyFont="1" applyFill="1" applyBorder="1" applyAlignment="1">
      <alignment horizontal="center" vertical="center" wrapText="1" readingOrder="1"/>
    </xf>
    <xf numFmtId="0" fontId="10" fillId="9" borderId="6" xfId="0" applyFont="1" applyFill="1" applyBorder="1" applyAlignment="1">
      <alignment horizontal="left" vertical="center" wrapText="1" readingOrder="1"/>
    </xf>
    <xf numFmtId="0" fontId="10" fillId="10" borderId="6" xfId="0" applyFont="1" applyFill="1" applyBorder="1" applyAlignment="1">
      <alignment horizontal="left" vertical="center" wrapText="1" readingOrder="1"/>
    </xf>
    <xf numFmtId="0" fontId="1" fillId="0" borderId="6" xfId="0" applyFont="1" applyBorder="1" applyAlignment="1">
      <alignment horizontal="left" vertical="center" wrapText="1"/>
    </xf>
    <xf numFmtId="166" fontId="1" fillId="2" borderId="6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11" borderId="6" xfId="0" applyFont="1" applyFill="1" applyBorder="1" applyAlignment="1">
      <alignment horizontal="left" vertical="center"/>
    </xf>
    <xf numFmtId="0" fontId="1" fillId="11" borderId="6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left" vertical="center"/>
    </xf>
    <xf numFmtId="3" fontId="1" fillId="0" borderId="6" xfId="0" applyNumberFormat="1" applyFont="1" applyBorder="1" applyAlignment="1">
      <alignment horizontal="left" vertical="center"/>
    </xf>
    <xf numFmtId="0" fontId="1" fillId="13" borderId="7" xfId="0" applyFont="1" applyFill="1" applyBorder="1" applyAlignment="1">
      <alignment horizontal="left" vertical="center" wrapText="1"/>
    </xf>
    <xf numFmtId="1" fontId="1" fillId="6" borderId="6" xfId="0" applyNumberFormat="1" applyFont="1" applyFill="1" applyBorder="1" applyAlignment="1">
      <alignment horizontal="center" vertical="center"/>
    </xf>
    <xf numFmtId="9" fontId="1" fillId="6" borderId="6" xfId="0" applyNumberFormat="1" applyFont="1" applyFill="1" applyBorder="1" applyAlignment="1">
      <alignment horizontal="center" vertical="center"/>
    </xf>
    <xf numFmtId="0" fontId="1" fillId="14" borderId="5" xfId="0" applyFont="1" applyFill="1" applyBorder="1" applyAlignment="1">
      <alignment horizontal="left" vertical="center"/>
    </xf>
    <xf numFmtId="3" fontId="1" fillId="0" borderId="5" xfId="0" applyNumberFormat="1" applyFont="1" applyBorder="1" applyAlignment="1">
      <alignment horizontal="left" vertical="center"/>
    </xf>
    <xf numFmtId="0" fontId="10" fillId="15" borderId="6" xfId="0" applyFont="1" applyFill="1" applyBorder="1" applyAlignment="1">
      <alignment horizontal="left" vertical="center" wrapText="1" readingOrder="1"/>
    </xf>
    <xf numFmtId="0" fontId="10" fillId="14" borderId="7" xfId="0" applyFont="1" applyFill="1" applyBorder="1" applyAlignment="1">
      <alignment horizontal="left" vertical="center" wrapText="1" readingOrder="1"/>
    </xf>
    <xf numFmtId="0" fontId="1" fillId="9" borderId="7" xfId="0" applyFont="1" applyFill="1" applyBorder="1" applyAlignment="1">
      <alignment horizontal="left" vertical="center" wrapText="1"/>
    </xf>
    <xf numFmtId="0" fontId="1" fillId="16" borderId="2" xfId="0" applyFont="1" applyFill="1" applyBorder="1" applyAlignment="1">
      <alignment horizontal="left" vertical="center" wrapText="1"/>
    </xf>
    <xf numFmtId="1" fontId="1" fillId="6" borderId="5" xfId="0" applyNumberFormat="1" applyFont="1" applyFill="1" applyBorder="1" applyAlignment="1">
      <alignment horizontal="center" vertical="center"/>
    </xf>
    <xf numFmtId="9" fontId="1" fillId="6" borderId="5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1" fontId="11" fillId="11" borderId="8" xfId="0" applyNumberFormat="1" applyFont="1" applyFill="1" applyBorder="1" applyAlignment="1">
      <alignment horizontal="center" vertical="center"/>
    </xf>
    <xf numFmtId="9" fontId="11" fillId="11" borderId="8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1" fillId="10" borderId="6" xfId="0" applyFont="1" applyFill="1" applyBorder="1" applyAlignment="1">
      <alignment horizontal="left" vertical="center"/>
    </xf>
    <xf numFmtId="0" fontId="1" fillId="14" borderId="6" xfId="0" applyFont="1" applyFill="1" applyBorder="1" applyAlignment="1">
      <alignment horizontal="left" vertical="center"/>
    </xf>
    <xf numFmtId="0" fontId="1" fillId="17" borderId="6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wrapText="1"/>
    </xf>
    <xf numFmtId="0" fontId="1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32">
    <dxf>
      <fill>
        <patternFill patternType="solid">
          <fgColor rgb="FFFFAFAE"/>
          <bgColor rgb="FFFFAFAE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DAE2AE"/>
          <bgColor rgb="FFDAE2AE"/>
        </patternFill>
      </fill>
    </dxf>
    <dxf>
      <fill>
        <patternFill patternType="solid">
          <fgColor rgb="FF81D6F0"/>
          <bgColor rgb="FF81D6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D32"/>
          <bgColor rgb="FF00BD32"/>
        </patternFill>
      </fill>
    </dxf>
    <dxf>
      <fill>
        <patternFill patternType="solid">
          <fgColor rgb="FFD2D2D2"/>
          <bgColor rgb="FFD2D2D2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FFAFAE"/>
          <bgColor rgb="FFFFAFAE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DAE2AE"/>
          <bgColor rgb="FFDAE2AE"/>
        </patternFill>
      </fill>
    </dxf>
    <dxf>
      <fill>
        <patternFill patternType="solid">
          <fgColor rgb="FF81D6F0"/>
          <bgColor rgb="FF81D6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D32"/>
          <bgColor rgb="FF00BD32"/>
        </patternFill>
      </fill>
    </dxf>
    <dxf>
      <fill>
        <patternFill patternType="solid">
          <fgColor rgb="FFD2D2D2"/>
          <bgColor rgb="FFD2D2D2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FFAFAE"/>
          <bgColor rgb="FFFFAFAE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DAE2AE"/>
          <bgColor rgb="FFDAE2AE"/>
        </patternFill>
      </fill>
    </dxf>
    <dxf>
      <fill>
        <patternFill patternType="solid">
          <fgColor rgb="FF81D6F0"/>
          <bgColor rgb="FF81D6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D32"/>
          <bgColor rgb="FF00BD32"/>
        </patternFill>
      </fill>
    </dxf>
    <dxf>
      <fill>
        <patternFill patternType="solid">
          <fgColor rgb="FFD2D2D2"/>
          <bgColor rgb="FFD2D2D2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FFAFAE"/>
          <bgColor rgb="FFFFAFAE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DAE2AE"/>
          <bgColor rgb="FFDAE2AE"/>
        </patternFill>
      </fill>
    </dxf>
    <dxf>
      <fill>
        <patternFill patternType="solid">
          <fgColor rgb="FF81D6F0"/>
          <bgColor rgb="FF81D6F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D32"/>
          <bgColor rgb="FF00BD32"/>
        </patternFill>
      </fill>
    </dxf>
    <dxf>
      <fill>
        <patternFill patternType="solid">
          <fgColor rgb="FFD2D2D2"/>
          <bgColor rgb="FFD2D2D2"/>
        </patternFill>
      </fill>
    </dxf>
    <dxf>
      <fill>
        <patternFill patternType="solid">
          <fgColor theme="7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v>NGÀY BẮT ĐẦU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'VD MẪU DASHBOARD BÁO CÁO DỰ ÁN'!$B$11:$B$22</c:f>
              <c:strCache>
                <c:ptCount val="12"/>
                <c:pt idx="0">
                  <c:v>Lên lịch họp khởi động dự án</c:v>
                </c:pt>
                <c:pt idx="1">
                  <c:v>Thống nhất mục tiêu</c:v>
                </c:pt>
                <c:pt idx="2">
                  <c:v>Yêu cầu chi tiết</c:v>
                </c:pt>
                <c:pt idx="3">
                  <c:v>Yêu cầu phần cứng</c:v>
                </c:pt>
                <c:pt idx="4">
                  <c:v>Kế hoạch nguồn lực cuối cùng</c:v>
                </c:pt>
                <c:pt idx="5">
                  <c:v>Nhân sự</c:v>
                </c:pt>
                <c:pt idx="6">
                  <c:v>Yêu cầu kỹ thuật</c:v>
                </c:pt>
                <c:pt idx="7">
                  <c:v>Testing</c:v>
                </c:pt>
                <c:pt idx="8">
                  <c:v>Dev. Complete</c:v>
                </c:pt>
                <c:pt idx="9">
                  <c:v>Cấu hình phần cứng</c:v>
                </c:pt>
                <c:pt idx="10">
                  <c:v>Thử nghiệm hệ thống</c:v>
                </c:pt>
                <c:pt idx="11">
                  <c:v>Ra mắt sản phẩm</c:v>
                </c:pt>
              </c:strCache>
            </c:strRef>
          </c:cat>
          <c:val>
            <c:numRef>
              <c:f>'VD MẪU DASHBOARD BÁO CÁO DỰ ÁN'!$D$11:$D$22</c:f>
              <c:numCache>
                <c:formatCode>mm/dd</c:formatCode>
                <c:ptCount val="12"/>
                <c:pt idx="0">
                  <c:v>45293</c:v>
                </c:pt>
                <c:pt idx="1">
                  <c:v>45295</c:v>
                </c:pt>
                <c:pt idx="2">
                  <c:v>45298</c:v>
                </c:pt>
                <c:pt idx="3">
                  <c:v>45301</c:v>
                </c:pt>
                <c:pt idx="4">
                  <c:v>45304</c:v>
                </c:pt>
                <c:pt idx="5">
                  <c:v>45307</c:v>
                </c:pt>
                <c:pt idx="6">
                  <c:v>45310</c:v>
                </c:pt>
                <c:pt idx="7">
                  <c:v>45313</c:v>
                </c:pt>
                <c:pt idx="8">
                  <c:v>45316</c:v>
                </c:pt>
                <c:pt idx="9">
                  <c:v>45319</c:v>
                </c:pt>
                <c:pt idx="10">
                  <c:v>45322</c:v>
                </c:pt>
                <c:pt idx="11">
                  <c:v>45326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0CD-45EE-981A-521FD60734E0}"/>
            </c:ext>
          </c:extLst>
        </c:ser>
        <c:ser>
          <c:idx val="1"/>
          <c:order val="1"/>
          <c:tx>
            <c:v>KHOẢNG THỜI GIAN</c:v>
          </c:tx>
          <c:spPr>
            <a:solidFill>
              <a:srgbClr val="03C15A">
                <a:alpha val="78431"/>
              </a:srgbClr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00B050">
                  <a:alpha val="78431"/>
                </a:srgbClr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C0CD-45EE-981A-521FD60734E0}"/>
              </c:ext>
            </c:extLst>
          </c:dPt>
          <c:dPt>
            <c:idx val="3"/>
            <c:invertIfNegative val="1"/>
            <c:bubble3D val="0"/>
            <c:spPr>
              <a:solidFill>
                <a:srgbClr val="00B050">
                  <a:alpha val="78431"/>
                </a:srgbClr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C0CD-45EE-981A-521FD60734E0}"/>
              </c:ext>
            </c:extLst>
          </c:dPt>
          <c:dPt>
            <c:idx val="5"/>
            <c:invertIfNegative val="1"/>
            <c:bubble3D val="0"/>
            <c:spPr>
              <a:solidFill>
                <a:srgbClr val="92D050">
                  <a:alpha val="78431"/>
                </a:srgbClr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C0CD-45EE-981A-521FD60734E0}"/>
              </c:ext>
            </c:extLst>
          </c:dPt>
          <c:dPt>
            <c:idx val="6"/>
            <c:invertIfNegative val="1"/>
            <c:bubble3D val="0"/>
            <c:spPr>
              <a:solidFill>
                <a:srgbClr val="92D050">
                  <a:alpha val="78431"/>
                </a:srgbClr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C0CD-45EE-981A-521FD60734E0}"/>
              </c:ext>
            </c:extLst>
          </c:dPt>
          <c:dPt>
            <c:idx val="7"/>
            <c:invertIfNegative val="1"/>
            <c:bubble3D val="0"/>
            <c:spPr>
              <a:solidFill>
                <a:srgbClr val="92D050">
                  <a:alpha val="78431"/>
                </a:srgbClr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C0CD-45EE-981A-521FD60734E0}"/>
              </c:ext>
            </c:extLst>
          </c:dPt>
          <c:dPt>
            <c:idx val="8"/>
            <c:invertIfNegative val="1"/>
            <c:bubble3D val="0"/>
            <c:spPr>
              <a:solidFill>
                <a:srgbClr val="92D050">
                  <a:alpha val="78431"/>
                </a:srgbClr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C0CD-45EE-981A-521FD60734E0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C0CD-45EE-981A-521FD60734E0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C0CD-45EE-981A-521FD60734E0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C0CD-45EE-981A-521FD60734E0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C0CD-45EE-981A-521FD60734E0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C0CD-45EE-981A-521FD60734E0}"/>
              </c:ext>
            </c:extLst>
          </c:dPt>
          <c:dPt>
            <c:idx val="14"/>
            <c:invertIfNegative val="1"/>
            <c:bubble3D val="0"/>
            <c:spPr>
              <a:solidFill>
                <a:srgbClr val="00B0F0">
                  <a:alpha val="78431"/>
                </a:srgbClr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C0CD-45EE-981A-521FD60734E0}"/>
              </c:ext>
            </c:extLst>
          </c:dPt>
          <c:dPt>
            <c:idx val="15"/>
            <c:invertIfNegative val="1"/>
            <c:bubble3D val="0"/>
            <c:spPr>
              <a:solidFill>
                <a:srgbClr val="00B0F0">
                  <a:alpha val="78431"/>
                </a:srgbClr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C0CD-45EE-981A-521FD60734E0}"/>
              </c:ext>
            </c:extLst>
          </c:dPt>
          <c:dPt>
            <c:idx val="16"/>
            <c:invertIfNegative val="1"/>
            <c:bubble3D val="0"/>
            <c:spPr>
              <a:solidFill>
                <a:srgbClr val="00B0F0">
                  <a:alpha val="78431"/>
                </a:srgbClr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C0CD-45EE-981A-521FD60734E0}"/>
              </c:ext>
            </c:extLst>
          </c:dPt>
          <c:dPt>
            <c:idx val="17"/>
            <c:invertIfNegative val="1"/>
            <c:bubble3D val="0"/>
            <c:spPr>
              <a:solidFill>
                <a:srgbClr val="00B0F0">
                  <a:alpha val="78431"/>
                </a:srgbClr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C0CD-45EE-981A-521FD60734E0}"/>
              </c:ext>
            </c:extLst>
          </c:dPt>
          <c:dPt>
            <c:idx val="18"/>
            <c:invertIfNegative val="1"/>
            <c:bubble3D val="0"/>
            <c:spPr>
              <a:solidFill>
                <a:srgbClr val="00B0F0">
                  <a:alpha val="78431"/>
                </a:srgbClr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0-C0CD-45EE-981A-521FD60734E0}"/>
              </c:ext>
            </c:extLst>
          </c:dPt>
          <c:cat>
            <c:strRef>
              <c:f>'VD MẪU DASHBOARD BÁO CÁO DỰ ÁN'!$B$11:$B$22</c:f>
              <c:strCache>
                <c:ptCount val="12"/>
                <c:pt idx="0">
                  <c:v>Lên lịch họp khởi động dự án</c:v>
                </c:pt>
                <c:pt idx="1">
                  <c:v>Thống nhất mục tiêu</c:v>
                </c:pt>
                <c:pt idx="2">
                  <c:v>Yêu cầu chi tiết</c:v>
                </c:pt>
                <c:pt idx="3">
                  <c:v>Yêu cầu phần cứng</c:v>
                </c:pt>
                <c:pt idx="4">
                  <c:v>Kế hoạch nguồn lực cuối cùng</c:v>
                </c:pt>
                <c:pt idx="5">
                  <c:v>Nhân sự</c:v>
                </c:pt>
                <c:pt idx="6">
                  <c:v>Yêu cầu kỹ thuật</c:v>
                </c:pt>
                <c:pt idx="7">
                  <c:v>Testing</c:v>
                </c:pt>
                <c:pt idx="8">
                  <c:v>Dev. Complete</c:v>
                </c:pt>
                <c:pt idx="9">
                  <c:v>Cấu hình phần cứng</c:v>
                </c:pt>
                <c:pt idx="10">
                  <c:v>Thử nghiệm hệ thống</c:v>
                </c:pt>
                <c:pt idx="11">
                  <c:v>Ra mắt sản phẩm</c:v>
                </c:pt>
              </c:strCache>
            </c:strRef>
          </c:cat>
          <c:val>
            <c:numRef>
              <c:f>'VD MẪU DASHBOARD BÁO CÁO DỰ ÁN'!$F$11:$F$22</c:f>
              <c:numCache>
                <c:formatCode>0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13</c:v>
                </c:pt>
                <c:pt idx="6">
                  <c:v>13</c:v>
                </c:pt>
                <c:pt idx="7">
                  <c:v>18</c:v>
                </c:pt>
                <c:pt idx="8">
                  <c:v>11</c:v>
                </c:pt>
                <c:pt idx="9">
                  <c:v>9</c:v>
                </c:pt>
                <c:pt idx="10">
                  <c:v>2</c:v>
                </c:pt>
                <c:pt idx="11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1-C0CD-45EE-981A-521FD6073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3524563"/>
        <c:axId val="1228377233"/>
      </c:barChart>
      <c:catAx>
        <c:axId val="14635245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000" b="1" i="0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1228377233"/>
        <c:crosses val="autoZero"/>
        <c:auto val="1"/>
        <c:lblAlgn val="ctr"/>
        <c:lblOffset val="100"/>
        <c:noMultiLvlLbl val="1"/>
      </c:catAx>
      <c:valAx>
        <c:axId val="1228377233"/>
        <c:scaling>
          <c:orientation val="minMax"/>
          <c:min val="4529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mm/dd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000" b="1" i="0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1463524563"/>
        <c:crosses val="max"/>
        <c:crossBetween val="between"/>
        <c:majorUnit val="5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Century Gothic"/>
              </a:defRPr>
            </a:pPr>
            <a:r>
              <a:rPr lang="en-US" b="1" i="0">
                <a:solidFill>
                  <a:srgbClr val="757575"/>
                </a:solidFill>
                <a:latin typeface="Century Gothic"/>
              </a:rPr>
              <a:t>TÌNH TRẠNG NHIỆM VỤ%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81D6F0"/>
              </a:solidFill>
            </c:spPr>
            <c:extLst>
              <c:ext xmlns:c16="http://schemas.microsoft.com/office/drawing/2014/chart" uri="{C3380CC4-5D6E-409C-BE32-E72D297353CC}">
                <c16:uniqueId val="{00000001-C280-4E4E-81A5-B80BE086A4E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C280-4E4E-81A5-B80BE086A4E2}"/>
              </c:ext>
            </c:extLst>
          </c:dPt>
          <c:dPt>
            <c:idx val="2"/>
            <c:bubble3D val="0"/>
            <c:spPr>
              <a:solidFill>
                <a:srgbClr val="00BD32"/>
              </a:solidFill>
            </c:spPr>
            <c:extLst>
              <c:ext xmlns:c16="http://schemas.microsoft.com/office/drawing/2014/chart" uri="{C3380CC4-5D6E-409C-BE32-E72D297353CC}">
                <c16:uniqueId val="{00000005-C280-4E4E-81A5-B80BE086A4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C280-4E4E-81A5-B80BE086A4E2}"/>
              </c:ext>
            </c:extLst>
          </c:dPt>
          <c:dPt>
            <c:idx val="4"/>
            <c:bubble3D val="0"/>
            <c:spPr>
              <a:solidFill>
                <a:srgbClr val="D2D2D2"/>
              </a:solidFill>
            </c:spPr>
            <c:extLst>
              <c:ext xmlns:c16="http://schemas.microsoft.com/office/drawing/2014/chart" uri="{C3380CC4-5D6E-409C-BE32-E72D297353CC}">
                <c16:uniqueId val="{00000009-C280-4E4E-81A5-B80BE086A4E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'VD MẪU DASHBOARD BÁO CÁO DỰ ÁN'!$B$26:$B$30</c:f>
              <c:strCache>
                <c:ptCount val="5"/>
                <c:pt idx="0">
                  <c:v>Not Started (Chưa bắt đầu)</c:v>
                </c:pt>
                <c:pt idx="1">
                  <c:v>In Progress (Đang làm)</c:v>
                </c:pt>
                <c:pt idx="2">
                  <c:v>Complete (Hoàn thiện)</c:v>
                </c:pt>
                <c:pt idx="3">
                  <c:v>Overdue (Qúa hạn)</c:v>
                </c:pt>
                <c:pt idx="4">
                  <c:v>On Hold (Đang chờ)</c:v>
                </c:pt>
              </c:strCache>
            </c:strRef>
          </c:cat>
          <c:val>
            <c:numRef>
              <c:f>'VD MẪU DASHBOARD BÁO CÁO DỰ ÁN'!$C$26:$C$30</c:f>
              <c:numCache>
                <c:formatCode>0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280-4E4E-81A5-B80BE086A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1400" b="1" i="0">
              <a:solidFill>
                <a:srgbClr val="1A1A1A"/>
              </a:solidFill>
              <a:latin typeface="Century Gothic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Century Gothic"/>
              </a:defRPr>
            </a:pPr>
            <a:r>
              <a:rPr lang="en-US" b="1" i="0">
                <a:solidFill>
                  <a:srgbClr val="757575"/>
                </a:solidFill>
                <a:latin typeface="Century Gothic"/>
              </a:rPr>
              <a:t>NGÂN SÁCH
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5465911273285962"/>
          <c:y val="0.29364341957255341"/>
          <c:w val="0.77391415402343"/>
          <c:h val="0.5373824521934758"/>
        </c:manualLayout>
      </c:layout>
      <c:barChart>
        <c:barDir val="bar"/>
        <c:grouping val="stack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0BD3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FF0-45D1-B4D0-CB1CC2C74610}"/>
              </c:ext>
            </c:extLst>
          </c:dPt>
          <c:dPt>
            <c:idx val="1"/>
            <c:invertIfNegative val="1"/>
            <c:bubble3D val="0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FF0-45D1-B4D0-CB1CC2C74610}"/>
              </c:ext>
            </c:extLst>
          </c:dPt>
          <c:cat>
            <c:strRef>
              <c:f>'VD MẪU DASHBOARD BÁO CÁO DỰ ÁN'!$F$25:$F$26</c:f>
              <c:strCache>
                <c:ptCount val="2"/>
                <c:pt idx="0">
                  <c:v>DỰ KIẾN</c:v>
                </c:pt>
                <c:pt idx="1">
                  <c:v>THỰC TẾ</c:v>
                </c:pt>
              </c:strCache>
            </c:strRef>
          </c:cat>
          <c:val>
            <c:numRef>
              <c:f>'VD MẪU DASHBOARD BÁO CÁO DỰ ÁN'!$G$25:$G$26</c:f>
              <c:numCache>
                <c:formatCode>#,##0</c:formatCode>
                <c:ptCount val="2"/>
                <c:pt idx="0">
                  <c:v>80000</c:v>
                </c:pt>
                <c:pt idx="1">
                  <c:v>50000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4FF0-45D1-B4D0-CB1CC2C74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8071363"/>
        <c:axId val="1994609468"/>
      </c:barChart>
      <c:catAx>
        <c:axId val="9480713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1994609468"/>
        <c:crosses val="autoZero"/>
        <c:auto val="1"/>
        <c:lblAlgn val="ctr"/>
        <c:lblOffset val="100"/>
        <c:noMultiLvlLbl val="1"/>
      </c:catAx>
      <c:valAx>
        <c:axId val="1994609468"/>
        <c:scaling>
          <c:orientation val="minMax"/>
          <c:max val="9000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200" b="1" i="0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948071363"/>
        <c:crosses val="max"/>
        <c:crossBetween val="between"/>
        <c:majorUnit val="10000"/>
        <c:minorUnit val="5000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Century Gothic"/>
              </a:defRPr>
            </a:pPr>
            <a:r>
              <a:rPr lang="en-US" b="1" i="0">
                <a:solidFill>
                  <a:srgbClr val="757575"/>
                </a:solidFill>
                <a:latin typeface="Century Gothic"/>
              </a:rPr>
              <a:t>CÁC MỤC ĐANG CHỜ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FF66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F2E-412A-B1C8-EC182A07FB13}"/>
              </c:ext>
            </c:extLst>
          </c:dPt>
          <c:dPt>
            <c:idx val="1"/>
            <c:invertIfNegative val="1"/>
            <c:bubble3D val="0"/>
            <c:spPr>
              <a:solidFill>
                <a:srgbClr val="00BD3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F2E-412A-B1C8-EC182A07FB13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4F2E-412A-B1C8-EC182A07FB13}"/>
              </c:ext>
            </c:extLst>
          </c:dPt>
          <c:cat>
            <c:strRef>
              <c:f>'VD MẪU DASHBOARD BÁO CÁO DỰ ÁN'!$F$34:$F$36</c:f>
              <c:strCache>
                <c:ptCount val="3"/>
                <c:pt idx="0">
                  <c:v>Decisions</c:v>
                </c:pt>
                <c:pt idx="1">
                  <c:v>Actions</c:v>
                </c:pt>
                <c:pt idx="2">
                  <c:v>Change Requests </c:v>
                </c:pt>
              </c:strCache>
            </c:strRef>
          </c:cat>
          <c:val>
            <c:numRef>
              <c:f>'VD MẪU DASHBOARD BÁO CÁO DỰ ÁN'!$G$34:$G$36</c:f>
              <c:numCache>
                <c:formatCode>#,##0</c:formatCode>
                <c:ptCount val="3"/>
                <c:pt idx="0">
                  <c:v>5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4F2E-412A-B1C8-EC182A07F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03173"/>
        <c:axId val="2045995051"/>
      </c:barChart>
      <c:catAx>
        <c:axId val="108031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200" b="1" i="0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2045995051"/>
        <c:crosses val="autoZero"/>
        <c:auto val="1"/>
        <c:lblAlgn val="ctr"/>
        <c:lblOffset val="100"/>
        <c:noMultiLvlLbl val="1"/>
      </c:catAx>
      <c:valAx>
        <c:axId val="2045995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1080317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Century Gothic"/>
              </a:defRPr>
            </a:pPr>
            <a:r>
              <a:rPr lang="vi-VN" b="1" i="0">
                <a:solidFill>
                  <a:srgbClr val="757575"/>
                </a:solidFill>
                <a:latin typeface="Century Gothic"/>
              </a:rPr>
              <a:t>MỨC ƯU TIÊN NHIỆM VỤ %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698D-44C5-905C-93AA1D9D654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3-698D-44C5-905C-93AA1D9D6544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5-698D-44C5-905C-93AA1D9D65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698D-44C5-905C-93AA1D9D654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'VD MẪU DASHBOARD BÁO CÁO DỰ ÁN'!$B$35:$B$38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'VD MẪU DASHBOARD BÁO CÁO DỰ ÁN'!$C$35:$C$38</c:f>
              <c:numCache>
                <c:formatCode>0</c:formatCode>
                <c:ptCount val="4"/>
                <c:pt idx="0">
                  <c:v>7</c:v>
                </c:pt>
                <c:pt idx="1">
                  <c:v>2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98D-44C5-905C-93AA1D9D6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1400" b="1" i="0">
              <a:solidFill>
                <a:srgbClr val="1A1A1A"/>
              </a:solidFill>
              <a:latin typeface="Century Gothic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v>NGÀY BẮT ĐẦU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'MẪU DASHBOARD BÁO CÁO DỰ ÁN'!$B$11:$B$30</c:f>
              <c:strCache>
                <c:ptCount val="20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  <c:pt idx="5">
                  <c:v>Task 6</c:v>
                </c:pt>
                <c:pt idx="6">
                  <c:v>Task 7</c:v>
                </c:pt>
                <c:pt idx="7">
                  <c:v>Task 8</c:v>
                </c:pt>
                <c:pt idx="8">
                  <c:v>Task 9</c:v>
                </c:pt>
                <c:pt idx="9">
                  <c:v>Task 10</c:v>
                </c:pt>
                <c:pt idx="10">
                  <c:v>Task 11</c:v>
                </c:pt>
                <c:pt idx="11">
                  <c:v>Task 12</c:v>
                </c:pt>
                <c:pt idx="12">
                  <c:v>Task 13</c:v>
                </c:pt>
                <c:pt idx="13">
                  <c:v>Task 14</c:v>
                </c:pt>
                <c:pt idx="14">
                  <c:v>Task 15</c:v>
                </c:pt>
                <c:pt idx="15">
                  <c:v>Task 16</c:v>
                </c:pt>
                <c:pt idx="16">
                  <c:v>Task 17</c:v>
                </c:pt>
                <c:pt idx="17">
                  <c:v>Task 18</c:v>
                </c:pt>
                <c:pt idx="18">
                  <c:v>Task 19</c:v>
                </c:pt>
                <c:pt idx="19">
                  <c:v>Task 20</c:v>
                </c:pt>
              </c:strCache>
            </c:strRef>
          </c:cat>
          <c:val>
            <c:numRef>
              <c:f>'MẪU DASHBOARD BÁO CÁO DỰ ÁN'!$D$11:$D$30</c:f>
              <c:numCache>
                <c:formatCode>mm/dd</c:formatCode>
                <c:ptCount val="20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2D3-4B3C-A517-9A8B6148F766}"/>
            </c:ext>
          </c:extLst>
        </c:ser>
        <c:ser>
          <c:idx val="1"/>
          <c:order val="1"/>
          <c:invertIfNegative val="1"/>
          <c:cat>
            <c:strRef>
              <c:f>'MẪU DASHBOARD BÁO CÁO DỰ ÁN'!$B$11:$B$30</c:f>
              <c:strCache>
                <c:ptCount val="20"/>
                <c:pt idx="0">
                  <c:v>Task 1</c:v>
                </c:pt>
                <c:pt idx="1">
                  <c:v>Task 2</c:v>
                </c:pt>
                <c:pt idx="2">
                  <c:v>Task 3</c:v>
                </c:pt>
                <c:pt idx="3">
                  <c:v>Task 4</c:v>
                </c:pt>
                <c:pt idx="4">
                  <c:v>Task 5</c:v>
                </c:pt>
                <c:pt idx="5">
                  <c:v>Task 6</c:v>
                </c:pt>
                <c:pt idx="6">
                  <c:v>Task 7</c:v>
                </c:pt>
                <c:pt idx="7">
                  <c:v>Task 8</c:v>
                </c:pt>
                <c:pt idx="8">
                  <c:v>Task 9</c:v>
                </c:pt>
                <c:pt idx="9">
                  <c:v>Task 10</c:v>
                </c:pt>
                <c:pt idx="10">
                  <c:v>Task 11</c:v>
                </c:pt>
                <c:pt idx="11">
                  <c:v>Task 12</c:v>
                </c:pt>
                <c:pt idx="12">
                  <c:v>Task 13</c:v>
                </c:pt>
                <c:pt idx="13">
                  <c:v>Task 14</c:v>
                </c:pt>
                <c:pt idx="14">
                  <c:v>Task 15</c:v>
                </c:pt>
                <c:pt idx="15">
                  <c:v>Task 16</c:v>
                </c:pt>
                <c:pt idx="16">
                  <c:v>Task 17</c:v>
                </c:pt>
                <c:pt idx="17">
                  <c:v>Task 18</c:v>
                </c:pt>
                <c:pt idx="18">
                  <c:v>Task 19</c:v>
                </c:pt>
                <c:pt idx="19">
                  <c:v>Task 20</c:v>
                </c:pt>
              </c:strCache>
            </c:strRef>
          </c:cat>
          <c:val>
            <c:numRef>
              <c:f>'MẪU DASHBOARD BÁO CÁO DỰ ÁN'!$F$10:$F$30</c:f>
              <c:numCache>
                <c:formatCode>0</c:formatCode>
                <c:ptCount val="2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D3-4B3C-A517-9A8B6148F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8420210"/>
        <c:axId val="2136931405"/>
      </c:barChart>
      <c:catAx>
        <c:axId val="17484202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000" b="1" i="0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2136931405"/>
        <c:crosses val="autoZero"/>
        <c:auto val="1"/>
        <c:lblAlgn val="ctr"/>
        <c:lblOffset val="100"/>
        <c:noMultiLvlLbl val="1"/>
      </c:catAx>
      <c:valAx>
        <c:axId val="2136931405"/>
        <c:scaling>
          <c:orientation val="minMax"/>
          <c:min val="4529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m/dd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000" b="1" i="0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1748420210"/>
        <c:crosses val="max"/>
        <c:crossBetween val="between"/>
        <c:majorUnit val="5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Century Gothic"/>
              </a:defRPr>
            </a:pPr>
            <a:r>
              <a:rPr b="1" i="0">
                <a:solidFill>
                  <a:srgbClr val="757575"/>
                </a:solidFill>
                <a:latin typeface="Century Gothic"/>
              </a:rPr>
              <a:t>TÌNH TRẠNG NHIỆM VỤ %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81D6F0"/>
              </a:solidFill>
            </c:spPr>
            <c:extLst>
              <c:ext xmlns:c16="http://schemas.microsoft.com/office/drawing/2014/chart" uri="{C3380CC4-5D6E-409C-BE32-E72D297353CC}">
                <c16:uniqueId val="{00000001-41C8-47DE-9FB0-985DE081C65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41C8-47DE-9FB0-985DE081C65A}"/>
              </c:ext>
            </c:extLst>
          </c:dPt>
          <c:dPt>
            <c:idx val="2"/>
            <c:bubble3D val="0"/>
            <c:spPr>
              <a:solidFill>
                <a:srgbClr val="00BD32"/>
              </a:solidFill>
            </c:spPr>
            <c:extLst>
              <c:ext xmlns:c16="http://schemas.microsoft.com/office/drawing/2014/chart" uri="{C3380CC4-5D6E-409C-BE32-E72D297353CC}">
                <c16:uniqueId val="{00000005-41C8-47DE-9FB0-985DE081C6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41C8-47DE-9FB0-985DE081C65A}"/>
              </c:ext>
            </c:extLst>
          </c:dPt>
          <c:dPt>
            <c:idx val="4"/>
            <c:bubble3D val="0"/>
            <c:spPr>
              <a:solidFill>
                <a:srgbClr val="D2D2D2"/>
              </a:solidFill>
            </c:spPr>
            <c:extLst>
              <c:ext xmlns:c16="http://schemas.microsoft.com/office/drawing/2014/chart" uri="{C3380CC4-5D6E-409C-BE32-E72D297353CC}">
                <c16:uniqueId val="{00000009-41C8-47DE-9FB0-985DE081C65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'MẪU DASHBOARD BÁO CÁO DỰ ÁN'!$B$34:$B$38</c:f>
              <c:strCache>
                <c:ptCount val="5"/>
                <c:pt idx="0">
                  <c:v>Not Started (Chưa bắt đầu)</c:v>
                </c:pt>
                <c:pt idx="1">
                  <c:v>In Progress (Đang làm)</c:v>
                </c:pt>
                <c:pt idx="2">
                  <c:v>Complete (Hoàn thiện)</c:v>
                </c:pt>
                <c:pt idx="3">
                  <c:v>Overdue (Qúa hạn)</c:v>
                </c:pt>
                <c:pt idx="4">
                  <c:v>On Hold (Đang chờ)</c:v>
                </c:pt>
              </c:strCache>
            </c:strRef>
          </c:cat>
          <c:val>
            <c:numRef>
              <c:f>'MẪU DASHBOARD BÁO CÁO DỰ ÁN'!$C$34:$C$38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1C8-47DE-9FB0-985DE081C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1400" b="1" i="0">
              <a:solidFill>
                <a:srgbClr val="1A1A1A"/>
              </a:solidFill>
              <a:latin typeface="Century Gothic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Century Gothic"/>
              </a:defRPr>
            </a:pPr>
            <a:r>
              <a:rPr b="1" i="0">
                <a:solidFill>
                  <a:srgbClr val="757575"/>
                </a:solidFill>
                <a:latin typeface="Century Gothic"/>
              </a:rPr>
              <a:t>NGÂN SÁCH
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5465911273285962"/>
          <c:y val="0.29364341957255341"/>
          <c:w val="0.77391415402343"/>
          <c:h val="0.5373824521934758"/>
        </c:manualLayout>
      </c:layout>
      <c:barChart>
        <c:barDir val="bar"/>
        <c:grouping val="stacked"/>
        <c:varyColors val="1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0BD3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4A4-43FE-8469-402BD3DF845C}"/>
              </c:ext>
            </c:extLst>
          </c:dPt>
          <c:dPt>
            <c:idx val="1"/>
            <c:invertIfNegative val="1"/>
            <c:bubble3D val="0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24A4-43FE-8469-402BD3DF845C}"/>
              </c:ext>
            </c:extLst>
          </c:dPt>
          <c:cat>
            <c:strRef>
              <c:f>'MẪU DASHBOARD BÁO CÁO DỰ ÁN'!$F$33:$F$34</c:f>
              <c:strCache>
                <c:ptCount val="2"/>
                <c:pt idx="0">
                  <c:v>DỰ KIẾN</c:v>
                </c:pt>
                <c:pt idx="1">
                  <c:v>THỰC TẾ</c:v>
                </c:pt>
              </c:strCache>
            </c:strRef>
          </c:cat>
          <c:val>
            <c:numRef>
              <c:f>'MẪU DASHBOARD BÁO CÁO DỰ ÁN'!$G$33:$G$34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4A4-43FE-8469-402BD3DF8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830737"/>
        <c:axId val="865950429"/>
      </c:barChart>
      <c:catAx>
        <c:axId val="20683073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100" b="1" i="0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865950429"/>
        <c:crosses val="autoZero"/>
        <c:auto val="1"/>
        <c:lblAlgn val="ctr"/>
        <c:lblOffset val="100"/>
        <c:noMultiLvlLbl val="1"/>
      </c:catAx>
      <c:valAx>
        <c:axId val="865950429"/>
        <c:scaling>
          <c:orientation val="minMax"/>
          <c:max val="9000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200" b="1" i="0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206830737"/>
        <c:crosses val="max"/>
        <c:crossBetween val="between"/>
        <c:majorUnit val="10000"/>
        <c:minorUnit val="5000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Century Gothic"/>
              </a:defRPr>
            </a:pPr>
            <a:r>
              <a:rPr b="1" i="0">
                <a:solidFill>
                  <a:srgbClr val="757575"/>
                </a:solidFill>
                <a:latin typeface="Century Gothic"/>
              </a:rPr>
              <a:t>CÁC MỤC ĐANG CHỜ 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FF660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0BB-4CFB-839B-BD5D30E28E61}"/>
              </c:ext>
            </c:extLst>
          </c:dPt>
          <c:dPt>
            <c:idx val="1"/>
            <c:invertIfNegative val="1"/>
            <c:bubble3D val="0"/>
            <c:spPr>
              <a:solidFill>
                <a:srgbClr val="00BD3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0BB-4CFB-839B-BD5D30E28E61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F0BB-4CFB-839B-BD5D30E28E61}"/>
              </c:ext>
            </c:extLst>
          </c:dPt>
          <c:cat>
            <c:strRef>
              <c:f>'MẪU DASHBOARD BÁO CÁO DỰ ÁN'!$F$42:$F$44</c:f>
              <c:strCache>
                <c:ptCount val="3"/>
                <c:pt idx="0">
                  <c:v>Decisions</c:v>
                </c:pt>
                <c:pt idx="1">
                  <c:v>Actions</c:v>
                </c:pt>
                <c:pt idx="2">
                  <c:v>Change Requests </c:v>
                </c:pt>
              </c:strCache>
            </c:strRef>
          </c:cat>
          <c:val>
            <c:numRef>
              <c:f>'MẪU DASHBOARD BÁO CÁO DỰ ÁN'!$G$42:$G$44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F0BB-4CFB-839B-BD5D30E28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1637994"/>
        <c:axId val="1524100878"/>
      </c:barChart>
      <c:catAx>
        <c:axId val="10516379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200" b="1" i="0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1524100878"/>
        <c:crosses val="autoZero"/>
        <c:auto val="1"/>
        <c:lblAlgn val="ctr"/>
        <c:lblOffset val="100"/>
        <c:noMultiLvlLbl val="1"/>
      </c:catAx>
      <c:valAx>
        <c:axId val="1524100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105163799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Century Gothic"/>
              </a:defRPr>
            </a:pPr>
            <a:r>
              <a:rPr b="1" i="0">
                <a:solidFill>
                  <a:srgbClr val="757575"/>
                </a:solidFill>
                <a:latin typeface="Century Gothic"/>
              </a:rPr>
              <a:t>MỨC ĐỘ ƯU TIÊN NHIỆM VỤ %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667B-4583-BBD6-836713253FE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3-667B-4583-BBD6-836713253FED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5-667B-4583-BBD6-836713253F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667B-4583-BBD6-836713253FE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'MẪU DASHBOARD BÁO CÁO DỰ ÁN'!$B$43:$B$46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'MẪU DASHBOARD BÁO CÁO DỰ ÁN'!$C$43:$C$46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7B-4583-BBD6-836713253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1400" b="1" i="0">
              <a:solidFill>
                <a:srgbClr val="1A1A1A"/>
              </a:solidFill>
              <a:latin typeface="Century Gothic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image" Target="../media/image1.png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4</xdr:row>
      <xdr:rowOff>114300</xdr:rowOff>
    </xdr:from>
    <xdr:ext cx="17935575" cy="4924425"/>
    <xdr:graphicFrame macro="">
      <xdr:nvGraphicFramePr>
        <xdr:cNvPr id="1111463992" name="Chart 1">
          <a:extLst>
            <a:ext uri="{FF2B5EF4-FFF2-40B4-BE49-F238E27FC236}">
              <a16:creationId xmlns:a16="http://schemas.microsoft.com/office/drawing/2014/main" id="{00000000-0008-0000-0100-000038983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38100</xdr:colOff>
      <xdr:row>4</xdr:row>
      <xdr:rowOff>5162550</xdr:rowOff>
    </xdr:from>
    <xdr:ext cx="5457825" cy="4114800"/>
    <xdr:graphicFrame macro="">
      <xdr:nvGraphicFramePr>
        <xdr:cNvPr id="208792027" name="Chart 2">
          <a:extLst>
            <a:ext uri="{FF2B5EF4-FFF2-40B4-BE49-F238E27FC236}">
              <a16:creationId xmlns:a16="http://schemas.microsoft.com/office/drawing/2014/main" id="{00000000-0008-0000-0100-0000DBE97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495300</xdr:colOff>
      <xdr:row>4</xdr:row>
      <xdr:rowOff>5162550</xdr:rowOff>
    </xdr:from>
    <xdr:ext cx="5238750" cy="1781175"/>
    <xdr:graphicFrame macro="">
      <xdr:nvGraphicFramePr>
        <xdr:cNvPr id="1329735269" name="Chart 3">
          <a:extLst>
            <a:ext uri="{FF2B5EF4-FFF2-40B4-BE49-F238E27FC236}">
              <a16:creationId xmlns:a16="http://schemas.microsoft.com/office/drawing/2014/main" id="{00000000-0008-0000-0100-000065264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7</xdr:col>
      <xdr:colOff>438150</xdr:colOff>
      <xdr:row>5</xdr:row>
      <xdr:rowOff>1924050</xdr:rowOff>
    </xdr:from>
    <xdr:ext cx="5381625" cy="2247900"/>
    <xdr:graphicFrame macro="">
      <xdr:nvGraphicFramePr>
        <xdr:cNvPr id="498946040" name="Chart 4">
          <a:extLst>
            <a:ext uri="{FF2B5EF4-FFF2-40B4-BE49-F238E27FC236}">
              <a16:creationId xmlns:a16="http://schemas.microsoft.com/office/drawing/2014/main" id="{00000000-0008-0000-0100-0000F84FB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</xdr:col>
      <xdr:colOff>381000</xdr:colOff>
      <xdr:row>4</xdr:row>
      <xdr:rowOff>5162550</xdr:rowOff>
    </xdr:from>
    <xdr:ext cx="5534025" cy="4114800"/>
    <xdr:graphicFrame macro="">
      <xdr:nvGraphicFramePr>
        <xdr:cNvPr id="870674609" name="Chart 5">
          <a:extLst>
            <a:ext uri="{FF2B5EF4-FFF2-40B4-BE49-F238E27FC236}">
              <a16:creationId xmlns:a16="http://schemas.microsoft.com/office/drawing/2014/main" id="{00000000-0008-0000-0100-0000B170E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4</xdr:row>
      <xdr:rowOff>114300</xdr:rowOff>
    </xdr:from>
    <xdr:ext cx="17935575" cy="4924425"/>
    <xdr:graphicFrame macro="">
      <xdr:nvGraphicFramePr>
        <xdr:cNvPr id="2055742101" name="Chart 6">
          <a:extLst>
            <a:ext uri="{FF2B5EF4-FFF2-40B4-BE49-F238E27FC236}">
              <a16:creationId xmlns:a16="http://schemas.microsoft.com/office/drawing/2014/main" id="{00000000-0008-0000-0200-000095228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38100</xdr:colOff>
      <xdr:row>4</xdr:row>
      <xdr:rowOff>5162550</xdr:rowOff>
    </xdr:from>
    <xdr:ext cx="5457825" cy="4114800"/>
    <xdr:graphicFrame macro="">
      <xdr:nvGraphicFramePr>
        <xdr:cNvPr id="1658693652" name="Chart 7">
          <a:extLst>
            <a:ext uri="{FF2B5EF4-FFF2-40B4-BE49-F238E27FC236}">
              <a16:creationId xmlns:a16="http://schemas.microsoft.com/office/drawing/2014/main" id="{00000000-0008-0000-0200-000014A8D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495300</xdr:colOff>
      <xdr:row>4</xdr:row>
      <xdr:rowOff>5162550</xdr:rowOff>
    </xdr:from>
    <xdr:ext cx="5238750" cy="1781175"/>
    <xdr:graphicFrame macro="">
      <xdr:nvGraphicFramePr>
        <xdr:cNvPr id="1560477079" name="Chart 8">
          <a:extLst>
            <a:ext uri="{FF2B5EF4-FFF2-40B4-BE49-F238E27FC236}">
              <a16:creationId xmlns:a16="http://schemas.microsoft.com/office/drawing/2014/main" id="{00000000-0008-0000-0200-000097FD0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7</xdr:col>
      <xdr:colOff>438150</xdr:colOff>
      <xdr:row>5</xdr:row>
      <xdr:rowOff>1924050</xdr:rowOff>
    </xdr:from>
    <xdr:ext cx="5381625" cy="2247900"/>
    <xdr:graphicFrame macro="">
      <xdr:nvGraphicFramePr>
        <xdr:cNvPr id="514986837" name="Chart 9">
          <a:extLst>
            <a:ext uri="{FF2B5EF4-FFF2-40B4-BE49-F238E27FC236}">
              <a16:creationId xmlns:a16="http://schemas.microsoft.com/office/drawing/2014/main" id="{00000000-0008-0000-0200-00005513B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</xdr:col>
      <xdr:colOff>381000</xdr:colOff>
      <xdr:row>4</xdr:row>
      <xdr:rowOff>5162550</xdr:rowOff>
    </xdr:from>
    <xdr:ext cx="5534025" cy="4114800"/>
    <xdr:graphicFrame macro="">
      <xdr:nvGraphicFramePr>
        <xdr:cNvPr id="1782389320" name="Chart 10">
          <a:extLst>
            <a:ext uri="{FF2B5EF4-FFF2-40B4-BE49-F238E27FC236}">
              <a16:creationId xmlns:a16="http://schemas.microsoft.com/office/drawing/2014/main" id="{00000000-0008-0000-0200-0000481A3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9</xdr:col>
      <xdr:colOff>171450</xdr:colOff>
      <xdr:row>4</xdr:row>
      <xdr:rowOff>38100</xdr:rowOff>
    </xdr:from>
    <xdr:ext cx="3724275" cy="41338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6602075" y="1800225"/>
          <a:ext cx="3724275" cy="4133850"/>
          <a:chOff x="3483863" y="1713075"/>
          <a:chExt cx="3724275" cy="413385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3483863" y="1713075"/>
            <a:ext cx="3724275" cy="4133850"/>
            <a:chOff x="3483863" y="1713075"/>
            <a:chExt cx="3724274" cy="413385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3483863" y="1713075"/>
              <a:ext cx="3724250" cy="413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GrpSpPr/>
          </xdr:nvGrpSpPr>
          <xdr:grpSpPr>
            <a:xfrm>
              <a:off x="3483863" y="1713075"/>
              <a:ext cx="3724274" cy="4133850"/>
              <a:chOff x="16992600" y="7112000"/>
              <a:chExt cx="3026580" cy="414274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200-000006000000}"/>
                  </a:ext>
                </a:extLst>
              </xdr:cNvPr>
              <xdr:cNvSpPr/>
            </xdr:nvSpPr>
            <xdr:spPr>
              <a:xfrm>
                <a:off x="16992600" y="7112000"/>
                <a:ext cx="3026575" cy="4142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7" name="Shape 7">
                <a:extLst>
                  <a:ext uri="{FF2B5EF4-FFF2-40B4-BE49-F238E27FC236}">
                    <a16:creationId xmlns:a16="http://schemas.microsoft.com/office/drawing/2014/main" id="{00000000-0008-0000-0200-000007000000}"/>
                  </a:ext>
                </a:extLst>
              </xdr:cNvPr>
              <xdr:cNvCxnSpPr/>
            </xdr:nvCxnSpPr>
            <xdr:spPr>
              <a:xfrm flipH="1">
                <a:off x="16992600" y="7353300"/>
                <a:ext cx="838200" cy="12700"/>
              </a:xfrm>
              <a:prstGeom prst="straightConnector1">
                <a:avLst/>
              </a:prstGeom>
              <a:noFill/>
              <a:ln w="25400" cap="flat" cmpd="sng">
                <a:solidFill>
                  <a:schemeClr val="accent1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200-000008000000}"/>
                  </a:ext>
                </a:extLst>
              </xdr:cNvPr>
              <xdr:cNvSpPr txBox="1"/>
            </xdr:nvSpPr>
            <xdr:spPr>
              <a:xfrm>
                <a:off x="17564100" y="7112000"/>
                <a:ext cx="2424929" cy="1379220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t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000"/>
                  <a:buFont typeface="Century Gothic"/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Century Gothic"/>
                    <a:ea typeface="Century Gothic"/>
                    <a:cs typeface="Century Gothic"/>
                    <a:sym typeface="Century Gothic"/>
                  </a:rPr>
                  <a:t>Bấm chuột phải vào Trục ngang (Value) để định dạng cài đặt Giới hạn tối thiểu(Bound Minimum) và Giới hạn tối đa(Bound Maximum) trong Axis Options..* Xóa mọi hàng không được điền trong bảng của bạn.*</a:t>
                </a:r>
                <a:endParaRPr sz="1000">
                  <a:latin typeface="Century Gothic"/>
                  <a:ea typeface="Century Gothic"/>
                  <a:cs typeface="Century Gothic"/>
                  <a:sym typeface="Century Gothic"/>
                </a:endParaRPr>
              </a:p>
            </xdr:txBody>
          </xdr:sp>
          <xdr:pic>
            <xdr:nvPicPr>
              <xdr:cNvPr id="9" name="Shape 9">
                <a:extLst>
                  <a:ext uri="{FF2B5EF4-FFF2-40B4-BE49-F238E27FC236}">
                    <a16:creationId xmlns:a16="http://schemas.microsoft.com/office/drawing/2014/main" id="{00000000-0008-0000-0200-000009000000}"/>
                  </a:ext>
                </a:extLst>
              </xdr:cNvPr>
              <xdr:cNvPicPr preferRelativeResize="0"/>
            </xdr:nvPicPr>
            <xdr:blipFill rotWithShape="1">
              <a:blip xmlns:r="http://schemas.openxmlformats.org/officeDocument/2006/relationships" r:embed="rId6">
                <a:alphaModFix/>
              </a:blip>
              <a:srcRect/>
              <a:stretch/>
            </xdr:blipFill>
            <xdr:spPr>
              <a:xfrm>
                <a:off x="17656980" y="8508182"/>
                <a:ext cx="2362200" cy="2746558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546A"/>
    <pageSetUpPr fitToPage="1"/>
  </sheetPr>
  <dimension ref="A1:AG1000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defaultColWidth="10.109375" defaultRowHeight="15" customHeight="1"/>
  <cols>
    <col min="1" max="1" width="3.44140625" customWidth="1"/>
    <col min="2" max="2" width="35.77734375" customWidth="1"/>
    <col min="3" max="3" width="20.77734375" customWidth="1"/>
    <col min="4" max="5" width="10.77734375" customWidth="1"/>
    <col min="6" max="6" width="17.77734375" customWidth="1"/>
    <col min="7" max="8" width="20.77734375" customWidth="1"/>
    <col min="9" max="9" width="50.77734375" customWidth="1"/>
    <col min="10" max="10" width="3.44140625" customWidth="1"/>
    <col min="11" max="11" width="12.77734375" customWidth="1"/>
    <col min="12" max="12" width="3.44140625" customWidth="1"/>
    <col min="13" max="13" width="12.77734375" customWidth="1"/>
    <col min="14" max="14" width="3.44140625" customWidth="1"/>
    <col min="15" max="17" width="11" customWidth="1"/>
    <col min="18" max="18" width="9" customWidth="1"/>
    <col min="19" max="33" width="11" customWidth="1"/>
  </cols>
  <sheetData>
    <row r="1" spans="1:33" ht="4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1"/>
      <c r="K1" s="3"/>
      <c r="L1" s="1"/>
      <c r="M1" s="3"/>
      <c r="N1" s="1"/>
      <c r="O1" s="1"/>
      <c r="P1" s="1"/>
      <c r="Q1" s="1"/>
      <c r="R1" s="1"/>
      <c r="S1" s="1"/>
      <c r="T1" s="1"/>
      <c r="U1" s="1"/>
      <c r="V1" s="1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 ht="24.75" customHeight="1">
      <c r="A2" s="5"/>
      <c r="B2" s="6" t="s">
        <v>1</v>
      </c>
      <c r="C2" s="7"/>
      <c r="D2" s="6"/>
      <c r="E2" s="6"/>
      <c r="F2" s="8" t="s">
        <v>2</v>
      </c>
      <c r="G2" s="9" t="s">
        <v>3</v>
      </c>
      <c r="H2" s="8" t="s">
        <v>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10"/>
      <c r="AD2" s="10"/>
      <c r="AE2" s="10"/>
      <c r="AF2" s="10"/>
      <c r="AG2" s="10"/>
    </row>
    <row r="3" spans="1:33" ht="34.5" customHeight="1">
      <c r="A3" s="1"/>
      <c r="B3" s="11"/>
      <c r="C3" s="12"/>
      <c r="D3" s="12"/>
      <c r="E3" s="13"/>
      <c r="F3" s="14" t="s">
        <v>5</v>
      </c>
      <c r="G3" s="15"/>
      <c r="H3" s="16">
        <v>0.72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4"/>
      <c r="AD3" s="4"/>
      <c r="AE3" s="4"/>
      <c r="AF3" s="4"/>
      <c r="AG3" s="4"/>
    </row>
    <row r="4" spans="1:33" ht="34.5" customHeight="1">
      <c r="A4" s="1"/>
      <c r="B4" s="17" t="s">
        <v>6</v>
      </c>
      <c r="C4" s="18"/>
      <c r="D4" s="18"/>
      <c r="E4" s="18"/>
      <c r="F4" s="19"/>
      <c r="G4" s="20"/>
      <c r="H4" s="2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4"/>
      <c r="AD4" s="4"/>
      <c r="AE4" s="4"/>
      <c r="AF4" s="4"/>
      <c r="AG4" s="4"/>
    </row>
    <row r="5" spans="1:33" ht="408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4"/>
      <c r="AD5" s="4"/>
      <c r="AE5" s="4"/>
      <c r="AF5" s="4"/>
      <c r="AG5" s="4"/>
    </row>
    <row r="6" spans="1:33" ht="322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4"/>
      <c r="AD6" s="4"/>
      <c r="AE6" s="4"/>
      <c r="AF6" s="4"/>
      <c r="AG6" s="4"/>
    </row>
    <row r="7" spans="1:33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4"/>
      <c r="AD7" s="4"/>
      <c r="AE7" s="4"/>
      <c r="AF7" s="4"/>
      <c r="AG7" s="4"/>
    </row>
    <row r="8" spans="1:33" ht="34.5" customHeight="1">
      <c r="A8" s="1"/>
      <c r="B8" s="22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4"/>
      <c r="AD8" s="4"/>
      <c r="AE8" s="4"/>
      <c r="AF8" s="4"/>
      <c r="AG8" s="4"/>
    </row>
    <row r="9" spans="1:33" ht="24.75" customHeight="1">
      <c r="A9" s="1"/>
      <c r="B9" s="23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34.5" customHeight="1">
      <c r="A10" s="24"/>
      <c r="B10" s="25" t="s">
        <v>9</v>
      </c>
      <c r="C10" s="25" t="s">
        <v>10</v>
      </c>
      <c r="D10" s="26" t="s">
        <v>11</v>
      </c>
      <c r="E10" s="26" t="s">
        <v>12</v>
      </c>
      <c r="F10" s="27" t="s">
        <v>13</v>
      </c>
      <c r="G10" s="25" t="s">
        <v>14</v>
      </c>
      <c r="H10" s="25" t="s">
        <v>15</v>
      </c>
      <c r="I10" s="25" t="s">
        <v>16</v>
      </c>
      <c r="J10" s="24"/>
      <c r="K10" s="25" t="s">
        <v>14</v>
      </c>
      <c r="L10" s="24"/>
      <c r="M10" s="25" t="s">
        <v>15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 spans="1:33" ht="22.5" customHeight="1">
      <c r="A11" s="24"/>
      <c r="B11" s="28" t="s">
        <v>17</v>
      </c>
      <c r="C11" s="29"/>
      <c r="D11" s="30">
        <v>45293</v>
      </c>
      <c r="E11" s="30">
        <v>45299</v>
      </c>
      <c r="F11" s="31">
        <f t="shared" ref="F11:F22" si="0">IF(D11=0,0,E11-D11)</f>
        <v>6</v>
      </c>
      <c r="G11" s="29" t="s">
        <v>18</v>
      </c>
      <c r="H11" s="29" t="s">
        <v>19</v>
      </c>
      <c r="I11" s="29"/>
      <c r="J11" s="32"/>
      <c r="K11" s="33" t="s">
        <v>20</v>
      </c>
      <c r="L11" s="24"/>
      <c r="M11" s="34" t="s">
        <v>19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 spans="1:33" ht="22.5" customHeight="1">
      <c r="A12" s="24"/>
      <c r="B12" s="28" t="s">
        <v>21</v>
      </c>
      <c r="C12" s="35"/>
      <c r="D12" s="36">
        <v>45295</v>
      </c>
      <c r="E12" s="36">
        <v>45302</v>
      </c>
      <c r="F12" s="31">
        <f t="shared" si="0"/>
        <v>7</v>
      </c>
      <c r="G12" s="28" t="s">
        <v>22</v>
      </c>
      <c r="H12" s="28" t="s">
        <v>23</v>
      </c>
      <c r="I12" s="29"/>
      <c r="J12" s="32"/>
      <c r="K12" s="28" t="s">
        <v>24</v>
      </c>
      <c r="L12" s="24"/>
      <c r="M12" s="37" t="s">
        <v>23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 spans="1:33" ht="22.5" customHeight="1">
      <c r="A13" s="24"/>
      <c r="B13" s="28" t="s">
        <v>25</v>
      </c>
      <c r="C13" s="35"/>
      <c r="D13" s="36">
        <v>45298</v>
      </c>
      <c r="E13" s="36">
        <v>45302</v>
      </c>
      <c r="F13" s="31">
        <f t="shared" si="0"/>
        <v>4</v>
      </c>
      <c r="G13" s="28" t="s">
        <v>22</v>
      </c>
      <c r="H13" s="28" t="s">
        <v>26</v>
      </c>
      <c r="I13" s="29"/>
      <c r="J13" s="32"/>
      <c r="K13" s="28" t="s">
        <v>22</v>
      </c>
      <c r="L13" s="24"/>
      <c r="M13" s="38" t="s">
        <v>26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 spans="1:33" ht="22.5" customHeight="1">
      <c r="A14" s="24"/>
      <c r="B14" s="28" t="s">
        <v>27</v>
      </c>
      <c r="C14" s="39"/>
      <c r="D14" s="36">
        <v>45301</v>
      </c>
      <c r="E14" s="36">
        <v>45306</v>
      </c>
      <c r="F14" s="31">
        <f t="shared" si="0"/>
        <v>5</v>
      </c>
      <c r="G14" s="28" t="s">
        <v>22</v>
      </c>
      <c r="H14" s="28" t="s">
        <v>26</v>
      </c>
      <c r="I14" s="29"/>
      <c r="J14" s="32"/>
      <c r="K14" s="39" t="s">
        <v>18</v>
      </c>
      <c r="L14" s="24"/>
      <c r="M14" s="39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 spans="1:33" ht="22.5" customHeight="1">
      <c r="A15" s="24"/>
      <c r="B15" s="28" t="s">
        <v>28</v>
      </c>
      <c r="C15" s="35"/>
      <c r="D15" s="36">
        <v>45304</v>
      </c>
      <c r="E15" s="36">
        <v>45311</v>
      </c>
      <c r="F15" s="31">
        <f t="shared" si="0"/>
        <v>7</v>
      </c>
      <c r="G15" s="28" t="s">
        <v>22</v>
      </c>
      <c r="H15" s="28" t="s">
        <v>26</v>
      </c>
      <c r="I15" s="29"/>
      <c r="J15" s="24"/>
      <c r="K15" s="39" t="s">
        <v>29</v>
      </c>
      <c r="L15" s="24"/>
      <c r="M15" s="1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 spans="1:33" ht="22.5" customHeight="1">
      <c r="A16" s="24"/>
      <c r="B16" s="28" t="s">
        <v>30</v>
      </c>
      <c r="C16" s="35"/>
      <c r="D16" s="36">
        <v>45307</v>
      </c>
      <c r="E16" s="36">
        <v>45320</v>
      </c>
      <c r="F16" s="31">
        <f t="shared" si="0"/>
        <v>13</v>
      </c>
      <c r="G16" s="28" t="s">
        <v>18</v>
      </c>
      <c r="H16" s="28" t="s">
        <v>19</v>
      </c>
      <c r="I16" s="29"/>
      <c r="J16" s="24"/>
      <c r="K16" s="1"/>
      <c r="L16" s="24"/>
      <c r="M16" s="1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 spans="1:33" ht="22.5" customHeight="1">
      <c r="A17" s="24"/>
      <c r="B17" s="28" t="s">
        <v>31</v>
      </c>
      <c r="C17" s="40"/>
      <c r="D17" s="36">
        <v>45310</v>
      </c>
      <c r="E17" s="30">
        <v>45323</v>
      </c>
      <c r="F17" s="31">
        <f t="shared" si="0"/>
        <v>13</v>
      </c>
      <c r="G17" s="28" t="s">
        <v>24</v>
      </c>
      <c r="H17" s="28" t="s">
        <v>19</v>
      </c>
      <c r="I17" s="29"/>
      <c r="J17" s="24"/>
      <c r="K17" s="1"/>
      <c r="L17" s="24"/>
      <c r="M17" s="1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</row>
    <row r="18" spans="1:33" ht="22.5" customHeight="1">
      <c r="A18" s="24"/>
      <c r="B18" s="28" t="s">
        <v>32</v>
      </c>
      <c r="C18" s="40"/>
      <c r="D18" s="36">
        <v>45313</v>
      </c>
      <c r="E18" s="30">
        <v>45331</v>
      </c>
      <c r="F18" s="31">
        <f t="shared" si="0"/>
        <v>18</v>
      </c>
      <c r="G18" s="28" t="s">
        <v>24</v>
      </c>
      <c r="H18" s="28" t="s">
        <v>19</v>
      </c>
      <c r="I18" s="29"/>
      <c r="J18" s="24"/>
      <c r="K18" s="1"/>
      <c r="L18" s="24"/>
      <c r="M18" s="1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 spans="1:33" ht="22.5" customHeight="1">
      <c r="A19" s="24"/>
      <c r="B19" s="28" t="s">
        <v>33</v>
      </c>
      <c r="C19" s="40"/>
      <c r="D19" s="36">
        <v>45316</v>
      </c>
      <c r="E19" s="30">
        <v>45327</v>
      </c>
      <c r="F19" s="31">
        <f t="shared" si="0"/>
        <v>11</v>
      </c>
      <c r="G19" s="28" t="s">
        <v>24</v>
      </c>
      <c r="H19" s="28" t="s">
        <v>19</v>
      </c>
      <c r="I19" s="29"/>
      <c r="J19" s="24"/>
      <c r="K19" s="1"/>
      <c r="L19" s="24"/>
      <c r="M19" s="1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 spans="1:33" ht="22.5" customHeight="1">
      <c r="A20" s="24"/>
      <c r="B20" s="28" t="s">
        <v>34</v>
      </c>
      <c r="C20" s="40"/>
      <c r="D20" s="36">
        <v>45319</v>
      </c>
      <c r="E20" s="30">
        <v>45328</v>
      </c>
      <c r="F20" s="31">
        <f t="shared" si="0"/>
        <v>9</v>
      </c>
      <c r="G20" s="28" t="s">
        <v>29</v>
      </c>
      <c r="H20" s="28" t="s">
        <v>19</v>
      </c>
      <c r="I20" s="29"/>
      <c r="J20" s="24"/>
      <c r="K20" s="1"/>
      <c r="L20" s="24"/>
      <c r="M20" s="1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</row>
    <row r="21" spans="1:33" ht="22.5" customHeight="1">
      <c r="A21" s="24"/>
      <c r="B21" s="28" t="s">
        <v>35</v>
      </c>
      <c r="C21" s="40"/>
      <c r="D21" s="36">
        <v>45322</v>
      </c>
      <c r="E21" s="30">
        <v>45324</v>
      </c>
      <c r="F21" s="31">
        <f t="shared" si="0"/>
        <v>2</v>
      </c>
      <c r="G21" s="28" t="s">
        <v>20</v>
      </c>
      <c r="H21" s="28" t="s">
        <v>19</v>
      </c>
      <c r="I21" s="29"/>
      <c r="J21" s="24"/>
      <c r="K21" s="1"/>
      <c r="L21" s="24"/>
      <c r="M21" s="1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</row>
    <row r="22" spans="1:33" ht="22.5" customHeight="1">
      <c r="A22" s="24"/>
      <c r="B22" s="28" t="s">
        <v>36</v>
      </c>
      <c r="C22" s="40"/>
      <c r="D22" s="36">
        <v>45326</v>
      </c>
      <c r="E22" s="30">
        <v>45334</v>
      </c>
      <c r="F22" s="31">
        <f t="shared" si="0"/>
        <v>8</v>
      </c>
      <c r="G22" s="28" t="s">
        <v>20</v>
      </c>
      <c r="H22" s="28" t="s">
        <v>23</v>
      </c>
      <c r="I22" s="29"/>
      <c r="J22" s="24"/>
      <c r="K22" s="1"/>
      <c r="L22" s="24"/>
      <c r="M22" s="1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</row>
    <row r="23" spans="1:3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24.75" customHeight="1">
      <c r="A24" s="1"/>
      <c r="B24" s="23" t="s">
        <v>37</v>
      </c>
      <c r="C24" s="1"/>
      <c r="D24" s="1"/>
      <c r="E24" s="1"/>
      <c r="F24" s="23" t="s">
        <v>38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22.5" customHeight="1">
      <c r="A25" s="41"/>
      <c r="B25" s="42" t="s">
        <v>14</v>
      </c>
      <c r="C25" s="43" t="s">
        <v>39</v>
      </c>
      <c r="D25" s="43" t="s">
        <v>40</v>
      </c>
      <c r="E25" s="41"/>
      <c r="F25" s="44" t="s">
        <v>41</v>
      </c>
      <c r="G25" s="45">
        <v>80000</v>
      </c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</row>
    <row r="26" spans="1:33" ht="22.5" customHeight="1">
      <c r="A26" s="41"/>
      <c r="B26" s="46" t="s">
        <v>42</v>
      </c>
      <c r="C26" s="47">
        <f>COUNTIF(G11:G22, "Not Started")</f>
        <v>2</v>
      </c>
      <c r="D26" s="48">
        <f>IFERROR(C26/C31,"")</f>
        <v>0.16666666666666666</v>
      </c>
      <c r="E26" s="41"/>
      <c r="F26" s="49" t="s">
        <v>43</v>
      </c>
      <c r="G26" s="50">
        <v>50000</v>
      </c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</row>
    <row r="27" spans="1:33" ht="22.5" customHeight="1">
      <c r="A27" s="41"/>
      <c r="B27" s="51" t="s">
        <v>44</v>
      </c>
      <c r="C27" s="47">
        <f>COUNTIF(G11:G22, "In Progress")</f>
        <v>3</v>
      </c>
      <c r="D27" s="48">
        <f>IFERROR(C27/C31,"")</f>
        <v>0.25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</row>
    <row r="28" spans="1:33" ht="22.5" customHeight="1">
      <c r="A28" s="41"/>
      <c r="B28" s="52" t="s">
        <v>45</v>
      </c>
      <c r="C28" s="47">
        <f>COUNTIF(G11:G22, "Complete")</f>
        <v>4</v>
      </c>
      <c r="D28" s="48">
        <f>IFERROR(C28/C31,"")</f>
        <v>0.33333333333333331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</row>
    <row r="29" spans="1:33" ht="22.5" customHeight="1">
      <c r="A29" s="41"/>
      <c r="B29" s="53" t="s">
        <v>46</v>
      </c>
      <c r="C29" s="47">
        <f>COUNTIF(G11:G22, "Overdue")</f>
        <v>2</v>
      </c>
      <c r="D29" s="48">
        <f>IFERROR(C29/C31,"")</f>
        <v>0.16666666666666666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</row>
    <row r="30" spans="1:33" ht="22.5" customHeight="1">
      <c r="A30" s="41"/>
      <c r="B30" s="54" t="s">
        <v>47</v>
      </c>
      <c r="C30" s="55">
        <f>COUNTIF(G11:G22, "On Hold")</f>
        <v>1</v>
      </c>
      <c r="D30" s="56">
        <f>IFERROR(C30/C31,"")</f>
        <v>8.3333333333333329E-2</v>
      </c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</row>
    <row r="31" spans="1:33" ht="22.5" customHeight="1">
      <c r="A31" s="41"/>
      <c r="B31" s="57" t="s">
        <v>48</v>
      </c>
      <c r="C31" s="58">
        <f t="shared" ref="C31:D31" si="1">SUM(C26:C30)</f>
        <v>12</v>
      </c>
      <c r="D31" s="59">
        <f t="shared" si="1"/>
        <v>1</v>
      </c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</row>
    <row r="32" spans="1:33" ht="12.75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</row>
    <row r="33" spans="1:33" ht="24.75" customHeight="1">
      <c r="A33" s="1"/>
      <c r="B33" s="23" t="s">
        <v>49</v>
      </c>
      <c r="C33" s="1"/>
      <c r="D33" s="1"/>
      <c r="E33" s="1"/>
      <c r="F33" s="60" t="s">
        <v>50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22.5" customHeight="1">
      <c r="A34" s="41"/>
      <c r="B34" s="42" t="s">
        <v>51</v>
      </c>
      <c r="C34" s="43" t="s">
        <v>39</v>
      </c>
      <c r="D34" s="43" t="s">
        <v>40</v>
      </c>
      <c r="E34" s="41"/>
      <c r="F34" s="61" t="s">
        <v>52</v>
      </c>
      <c r="G34" s="45">
        <v>5</v>
      </c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</row>
    <row r="35" spans="1:33" ht="22.5" customHeight="1">
      <c r="A35" s="41"/>
      <c r="B35" s="34" t="s">
        <v>19</v>
      </c>
      <c r="C35" s="47">
        <f>COUNTIF(H11:H22, "High")</f>
        <v>7</v>
      </c>
      <c r="D35" s="48">
        <f>IFERROR(C35/C39,"")</f>
        <v>0.58333333333333337</v>
      </c>
      <c r="E35" s="41"/>
      <c r="F35" s="62" t="s">
        <v>53</v>
      </c>
      <c r="G35" s="45">
        <v>2</v>
      </c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</row>
    <row r="36" spans="1:33" ht="22.5" customHeight="1">
      <c r="A36" s="41"/>
      <c r="B36" s="37" t="s">
        <v>23</v>
      </c>
      <c r="C36" s="47">
        <f>COUNTIF(H11:H22, "Medium")</f>
        <v>2</v>
      </c>
      <c r="D36" s="48">
        <f>IFERROR(C36/C39,"")</f>
        <v>0.16666666666666666</v>
      </c>
      <c r="E36" s="41"/>
      <c r="F36" s="63" t="s">
        <v>54</v>
      </c>
      <c r="G36" s="45">
        <v>4</v>
      </c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</row>
    <row r="37" spans="1:33" ht="22.5" customHeight="1">
      <c r="A37" s="41"/>
      <c r="B37" s="38" t="s">
        <v>26</v>
      </c>
      <c r="C37" s="47">
        <f>COUNTIF(H11:H22, "Low")</f>
        <v>3</v>
      </c>
      <c r="D37" s="48">
        <f>IFERROR(C37/C39,"")</f>
        <v>0.25</v>
      </c>
      <c r="E37" s="41"/>
      <c r="F37" s="1"/>
      <c r="G37" s="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</row>
    <row r="38" spans="1:33" ht="22.5" customHeight="1">
      <c r="A38" s="41"/>
      <c r="B38" s="64"/>
      <c r="C38" s="55">
        <f>COUNTIF(H11:H22, "...")</f>
        <v>0</v>
      </c>
      <c r="D38" s="56">
        <f>IFERROR(C38/C39,"")</f>
        <v>0</v>
      </c>
      <c r="E38" s="41"/>
      <c r="F38" s="1"/>
      <c r="G38" s="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</row>
    <row r="39" spans="1:33" ht="22.5" customHeight="1">
      <c r="A39" s="41"/>
      <c r="B39" s="57" t="s">
        <v>55</v>
      </c>
      <c r="C39" s="58">
        <f t="shared" ref="C39:D39" si="2">SUM(C35:C38)</f>
        <v>12</v>
      </c>
      <c r="D39" s="59">
        <f t="shared" si="2"/>
        <v>1</v>
      </c>
      <c r="E39" s="41"/>
      <c r="F39" s="1"/>
      <c r="G39" s="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</row>
    <row r="40" spans="1:33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spans="1:33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spans="1:33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spans="1:33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spans="1:33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spans="1:33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spans="1:33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spans="1:33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spans="1:3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spans="1:33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spans="1:33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spans="1:33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spans="1:33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spans="1:33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spans="1:33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spans="1:33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spans="1:33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spans="1:33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spans="1:3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spans="1:33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spans="1:33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spans="1:33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spans="1:33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spans="1:33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spans="1:33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spans="1:33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spans="1:33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spans="1:33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spans="1:3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spans="1:33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spans="1:33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spans="1:33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spans="1:33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spans="1:33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spans="1:33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spans="1:33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spans="1:33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spans="1:33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spans="1:3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spans="1:33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spans="1:33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spans="1:33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spans="1:33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spans="1:33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spans="1:33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spans="1:33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spans="1:33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spans="1:33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spans="1:3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spans="1:33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spans="1:33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spans="1:33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spans="1:33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spans="1:33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spans="1:33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spans="1:33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spans="1:33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spans="1:33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spans="1:3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spans="1:33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spans="1:33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spans="1:33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spans="1:33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spans="1:33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spans="1:33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spans="1:33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spans="1:33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spans="1:33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spans="1:3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spans="1:33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spans="1:33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spans="1:33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spans="1:33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spans="1:33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spans="1:33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spans="1:33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spans="1:33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spans="1:33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spans="1:3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spans="1:33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spans="1:33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spans="1:33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spans="1:33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spans="1:33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spans="1:33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spans="1:33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spans="1:33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spans="1:33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spans="1:3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spans="1:33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spans="1:33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spans="1:33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spans="1:33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spans="1:33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spans="1:33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spans="1:33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spans="1:33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spans="1:33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spans="1: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spans="1:33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spans="1:33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spans="1:33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spans="1:33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spans="1:33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spans="1:33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spans="1:33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spans="1:33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spans="1:33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spans="1:3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spans="1:33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spans="1:33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spans="1:33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spans="1:33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spans="1:33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spans="1:33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spans="1:33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spans="1:33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spans="1:33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spans="1:3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spans="1:33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spans="1:33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spans="1:33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spans="1:33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spans="1:33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spans="1:33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spans="1:33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spans="1:33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spans="1:33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spans="1:3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spans="1:33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spans="1:33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spans="1:33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spans="1:33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spans="1:33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spans="1:33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spans="1:33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spans="1:33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spans="1:33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spans="1:3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spans="1:33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spans="1:33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spans="1:33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spans="1:33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spans="1:33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spans="1:33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spans="1:33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spans="1:33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spans="1:33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spans="1:3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spans="1:33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spans="1:33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spans="1:33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spans="1:33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spans="1:33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spans="1:33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spans="1:33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spans="1:33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spans="1:33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spans="1:3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spans="1:33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spans="1:33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spans="1:33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spans="1:33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spans="1:33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spans="1:33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spans="1:33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spans="1:33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spans="1:33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spans="1:3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spans="1:33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spans="1:33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spans="1:33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spans="1:33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spans="1:33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spans="1:33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spans="1:33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spans="1:33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spans="1:33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spans="1:3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spans="1:33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spans="1:33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spans="1:33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spans="1:33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spans="1:33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spans="1:33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spans="1:33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spans="1:33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spans="1:33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spans="1:3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spans="1:33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spans="1:33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spans="1:33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spans="1:33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spans="1:33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spans="1:33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spans="1:33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spans="1:33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spans="1:33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spans="1: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spans="1:33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spans="1:33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spans="1:33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spans="1:33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spans="1:33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spans="1:33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spans="1:33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spans="1:33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spans="1:33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spans="1:3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spans="1:33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spans="1:33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spans="1:33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spans="1:33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spans="1:33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spans="1:33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spans="1:33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spans="1:33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spans="1:33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spans="1:3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spans="1:33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spans="1:33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spans="1:33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spans="1:33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spans="1:33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spans="1:33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spans="1:33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spans="1:33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spans="1:33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spans="1:3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spans="1:33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spans="1:33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spans="1:33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spans="1:33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spans="1:33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spans="1:33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spans="1:33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spans="1:33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spans="1:33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spans="1:3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spans="1:33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spans="1:33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spans="1:33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spans="1:33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spans="1:33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spans="1:33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spans="1:33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spans="1:33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spans="1:33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spans="1:3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spans="1:33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spans="1:33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spans="1:33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spans="1:33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spans="1:33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spans="1:33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spans="1:33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spans="1:33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spans="1:33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spans="1:3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spans="1:33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spans="1:33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spans="1:33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spans="1:33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spans="1:33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spans="1:33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spans="1:33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spans="1:33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spans="1:33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spans="1:3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spans="1:33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spans="1:33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spans="1:33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spans="1:33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spans="1:33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spans="1:33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spans="1:33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spans="1:33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spans="1:33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spans="1:3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spans="1:33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spans="1:33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spans="1:33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spans="1:33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spans="1:33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spans="1:33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spans="1:33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spans="1:33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spans="1:33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spans="1:3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spans="1:33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spans="1:33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spans="1:33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spans="1:33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spans="1:33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spans="1:33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spans="1:33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spans="1:33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spans="1:33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spans="1: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spans="1:33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spans="1:33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spans="1:33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spans="1:33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spans="1:33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spans="1:33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spans="1:33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spans="1:33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spans="1:33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spans="1:3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spans="1:33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spans="1:33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spans="1:33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spans="1:33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spans="1:33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spans="1:33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spans="1:33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spans="1:33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spans="1:33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spans="1:3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spans="1:33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spans="1:33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spans="1:33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spans="1:33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spans="1:33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spans="1:33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spans="1:33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spans="1:33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spans="1:33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spans="1:3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spans="1:33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spans="1:33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spans="1:33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spans="1:33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spans="1:33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spans="1:33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spans="1:33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spans="1:33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spans="1:33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spans="1:3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spans="1:33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spans="1:33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spans="1:33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spans="1:33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spans="1:33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spans="1:33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spans="1:33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spans="1:33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spans="1:33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spans="1:3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spans="1:33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spans="1:33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spans="1:33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spans="1:33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spans="1:33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spans="1:33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spans="1:33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spans="1:33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spans="1:33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spans="1:3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spans="1:33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spans="1:33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spans="1:33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spans="1:33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spans="1:33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spans="1:33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spans="1:33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spans="1:33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spans="1:33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spans="1:3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spans="1:33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spans="1:33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spans="1:33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spans="1:33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spans="1:33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spans="1:33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spans="1:33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spans="1:33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spans="1:33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spans="1:3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spans="1:33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spans="1:33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spans="1:33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spans="1:33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spans="1:33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spans="1:33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spans="1:33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spans="1:33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spans="1:33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spans="1:3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spans="1:33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spans="1:33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spans="1:33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spans="1:33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spans="1:33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spans="1:33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spans="1:33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spans="1:33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spans="1:33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spans="1: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spans="1:33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spans="1:33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spans="1:33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spans="1:33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spans="1:33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spans="1:33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spans="1:33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spans="1:33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spans="1:33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spans="1:3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spans="1:33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spans="1:33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spans="1:33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spans="1:33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spans="1:33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spans="1:33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spans="1:33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spans="1:33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spans="1:33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spans="1:3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spans="1:33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spans="1:33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spans="1:33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spans="1:33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spans="1:33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spans="1:33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spans="1:33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spans="1:33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spans="1:33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spans="1:3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spans="1:33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spans="1:33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spans="1:33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spans="1:33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spans="1:33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spans="1:33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spans="1:33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spans="1:33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spans="1:33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spans="1:3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spans="1:33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spans="1:33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spans="1:33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spans="1:33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spans="1:33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spans="1:33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spans="1:33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spans="1:33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spans="1:33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spans="1:3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spans="1:33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spans="1:33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spans="1:33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spans="1:33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spans="1:33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spans="1:33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spans="1:33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spans="1:33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spans="1:33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spans="1:3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spans="1:33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spans="1:33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spans="1:33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spans="1:33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spans="1:33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spans="1:33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spans="1:33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spans="1:33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spans="1:33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spans="1:3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spans="1:33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spans="1:33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spans="1:33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spans="1:33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spans="1:33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spans="1:33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spans="1:33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spans="1:33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spans="1:33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spans="1:3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spans="1:33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spans="1:33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spans="1:33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spans="1:33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spans="1:33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spans="1:33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spans="1:33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spans="1:33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spans="1:33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spans="1:3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spans="1:33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spans="1:33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spans="1:33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spans="1:33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spans="1:33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spans="1:33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spans="1:33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spans="1:33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spans="1:33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spans="1: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spans="1:33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spans="1:33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spans="1:33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spans="1:33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spans="1:33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spans="1:33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spans="1:33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spans="1:33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spans="1:33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spans="1:3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spans="1:33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spans="1:33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spans="1:33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spans="1:33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spans="1:33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spans="1:33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spans="1:33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spans="1:33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spans="1:33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spans="1:3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spans="1:33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spans="1:33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spans="1:33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spans="1:33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spans="1:33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spans="1:33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spans="1:33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spans="1:33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spans="1:33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spans="1:3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spans="1:33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spans="1:33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spans="1:33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spans="1:33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spans="1:33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spans="1:33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spans="1:33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spans="1:33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spans="1:33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spans="1:3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spans="1:33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spans="1:33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spans="1:33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spans="1:33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spans="1:33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spans="1:33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spans="1:33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spans="1:33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spans="1:33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spans="1:3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spans="1:33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spans="1:33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spans="1:33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spans="1:33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spans="1:33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spans="1:33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spans="1:33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spans="1:33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spans="1:33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spans="1:3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spans="1:33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spans="1:33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spans="1:33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spans="1:33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spans="1:33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spans="1:33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spans="1:33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spans="1:33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spans="1:33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spans="1:3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spans="1:33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spans="1:33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spans="1:33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spans="1:33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spans="1:33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spans="1:33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spans="1:33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spans="1:33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spans="1:33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spans="1:3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spans="1:33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spans="1:33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spans="1:33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spans="1:33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spans="1:33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spans="1:33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spans="1:33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spans="1:33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spans="1:33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spans="1:3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spans="1:33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spans="1:33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spans="1:33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spans="1:33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spans="1:33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spans="1:33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spans="1:33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spans="1:33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spans="1:33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spans="1: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spans="1:33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spans="1:33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spans="1:33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spans="1:33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spans="1:33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spans="1:33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spans="1:33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spans="1:33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spans="1:33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spans="1:3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spans="1:33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spans="1:33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spans="1:33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spans="1:33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spans="1:33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spans="1:33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spans="1:33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spans="1:33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spans="1:33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spans="1:3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spans="1:33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spans="1:33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spans="1:33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spans="1:33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spans="1:33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spans="1:33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spans="1:33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spans="1:33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spans="1:33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spans="1:3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spans="1:33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spans="1:33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spans="1:33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spans="1:33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spans="1:33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spans="1:33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spans="1:33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spans="1:33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spans="1:33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spans="1:3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spans="1:33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spans="1:33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spans="1:33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spans="1:33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spans="1:33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spans="1:33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spans="1:33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spans="1:33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spans="1:33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spans="1:3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spans="1:33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spans="1:33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spans="1:33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spans="1:33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spans="1:33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spans="1:33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 spans="1:33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 spans="1:33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 spans="1:33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 spans="1:3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 spans="1:33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 spans="1:33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 spans="1:33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 spans="1:33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 spans="1:33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 spans="1:33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 spans="1:33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</sheetData>
  <conditionalFormatting sqref="B26:B30">
    <cfRule type="containsText" dxfId="31" priority="9" operator="containsText" text="Overdue">
      <formula>NOT(ISERROR(SEARCH(("Overdue"),(B26))))</formula>
    </cfRule>
    <cfRule type="containsText" dxfId="30" priority="10" operator="containsText" text="On Hold">
      <formula>NOT(ISERROR(SEARCH(("On Hold"),(B26))))</formula>
    </cfRule>
    <cfRule type="containsText" dxfId="29" priority="11" operator="containsText" text="Complete">
      <formula>NOT(ISERROR(SEARCH(("Complete"),(B26))))</formula>
    </cfRule>
    <cfRule type="containsText" dxfId="28" priority="12" operator="containsText" text="In Progress">
      <formula>NOT(ISERROR(SEARCH(("In Progress"),(B26))))</formula>
    </cfRule>
    <cfRule type="containsText" dxfId="27" priority="13" operator="containsText" text="Not Started">
      <formula>NOT(ISERROR(SEARCH(("Not Started"),(B26))))</formula>
    </cfRule>
  </conditionalFormatting>
  <conditionalFormatting sqref="B35:B38">
    <cfRule type="containsText" dxfId="26" priority="14" operator="containsText" text="Low">
      <formula>NOT(ISERROR(SEARCH(("Low"),(B35))))</formula>
    </cfRule>
    <cfRule type="containsText" dxfId="25" priority="15" operator="containsText" text="Medium">
      <formula>NOT(ISERROR(SEARCH(("Medium"),(B35))))</formula>
    </cfRule>
    <cfRule type="containsText" dxfId="24" priority="16" operator="containsText" text="High">
      <formula>NOT(ISERROR(SEARCH(("High"),(B35))))</formula>
    </cfRule>
  </conditionalFormatting>
  <conditionalFormatting sqref="K11:K15 G11:G22">
    <cfRule type="containsText" dxfId="23" priority="1" operator="containsText" text="Overdue">
      <formula>NOT(ISERROR(SEARCH(("Overdue"),(G11))))</formula>
    </cfRule>
    <cfRule type="containsText" dxfId="22" priority="2" operator="containsText" text="On Hold">
      <formula>NOT(ISERROR(SEARCH(("On Hold"),(G11))))</formula>
    </cfRule>
    <cfRule type="containsText" dxfId="21" priority="3" operator="containsText" text="Complete">
      <formula>NOT(ISERROR(SEARCH(("Complete"),(G11))))</formula>
    </cfRule>
    <cfRule type="containsText" dxfId="20" priority="4" operator="containsText" text="In Progress">
      <formula>NOT(ISERROR(SEARCH(("In Progress"),(G11))))</formula>
    </cfRule>
    <cfRule type="containsText" dxfId="19" priority="5" operator="containsText" text="Not Started">
      <formula>NOT(ISERROR(SEARCH(("Not Started"),(G11))))</formula>
    </cfRule>
  </conditionalFormatting>
  <conditionalFormatting sqref="M11:M14 H11:H22">
    <cfRule type="containsText" dxfId="18" priority="6" operator="containsText" text="Low">
      <formula>NOT(ISERROR(SEARCH(("Low"),(H11))))</formula>
    </cfRule>
    <cfRule type="containsText" dxfId="17" priority="7" operator="containsText" text="Medium">
      <formula>NOT(ISERROR(SEARCH(("Medium"),(H11))))</formula>
    </cfRule>
    <cfRule type="containsText" dxfId="16" priority="8" operator="containsText" text="High">
      <formula>NOT(ISERROR(SEARCH(("High"),(H11))))</formula>
    </cfRule>
  </conditionalFormatting>
  <dataValidations count="2">
    <dataValidation type="list" allowBlank="1" showErrorMessage="1" sqref="H11:H22" xr:uid="{00000000-0002-0000-0100-000000000000}">
      <formula1>$M$11:$M$14</formula1>
    </dataValidation>
    <dataValidation type="list" allowBlank="1" showErrorMessage="1" sqref="G11:G22" xr:uid="{00000000-0002-0000-0100-000001000000}">
      <formula1>$K$11:$K$15</formula1>
    </dataValidation>
  </dataValidations>
  <pageMargins left="0.3" right="0.3" top="0.3" bottom="0.3" header="0" footer="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496B0"/>
    <pageSetUpPr fitToPage="1"/>
  </sheetPr>
  <dimension ref="A1:AG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0.109375" defaultRowHeight="15" customHeight="1"/>
  <cols>
    <col min="1" max="1" width="3.44140625" customWidth="1"/>
    <col min="2" max="2" width="35.77734375" customWidth="1"/>
    <col min="3" max="3" width="20.77734375" customWidth="1"/>
    <col min="4" max="5" width="10.77734375" customWidth="1"/>
    <col min="6" max="6" width="17.77734375" customWidth="1"/>
    <col min="7" max="8" width="20.77734375" customWidth="1"/>
    <col min="9" max="9" width="50.77734375" customWidth="1"/>
    <col min="10" max="10" width="3.44140625" customWidth="1"/>
    <col min="11" max="11" width="12.77734375" customWidth="1"/>
    <col min="12" max="12" width="3.44140625" customWidth="1"/>
    <col min="13" max="13" width="12.77734375" customWidth="1"/>
    <col min="14" max="14" width="3.44140625" customWidth="1"/>
    <col min="15" max="17" width="11" customWidth="1"/>
    <col min="18" max="18" width="9" customWidth="1"/>
    <col min="19" max="33" width="11" customWidth="1"/>
  </cols>
  <sheetData>
    <row r="1" spans="1:33" ht="4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1"/>
      <c r="K1" s="3"/>
      <c r="L1" s="1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"/>
      <c r="AE1" s="4"/>
      <c r="AF1" s="4"/>
      <c r="AG1" s="4"/>
    </row>
    <row r="2" spans="1:33" ht="24.75" customHeight="1">
      <c r="A2" s="5"/>
      <c r="B2" s="6" t="s">
        <v>1</v>
      </c>
      <c r="C2" s="7"/>
      <c r="D2" s="6"/>
      <c r="E2" s="6"/>
      <c r="F2" s="8" t="s">
        <v>2</v>
      </c>
      <c r="G2" s="9" t="s">
        <v>3</v>
      </c>
      <c r="H2" s="8" t="s">
        <v>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10"/>
      <c r="AE2" s="10"/>
      <c r="AF2" s="10"/>
      <c r="AG2" s="10"/>
    </row>
    <row r="3" spans="1:33" ht="34.5" customHeight="1">
      <c r="A3" s="1"/>
      <c r="B3" s="11"/>
      <c r="C3" s="12"/>
      <c r="D3" s="12"/>
      <c r="E3" s="13"/>
      <c r="F3" s="14" t="s">
        <v>5</v>
      </c>
      <c r="G3" s="15"/>
      <c r="H3" s="16">
        <v>1</v>
      </c>
      <c r="I3" s="65" t="s">
        <v>56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4"/>
      <c r="AE3" s="4"/>
      <c r="AF3" s="4"/>
      <c r="AG3" s="4"/>
    </row>
    <row r="4" spans="1:33" ht="34.5" customHeight="1">
      <c r="A4" s="1"/>
      <c r="B4" s="17" t="s">
        <v>57</v>
      </c>
      <c r="C4" s="18"/>
      <c r="D4" s="18"/>
      <c r="E4" s="18"/>
      <c r="F4" s="19"/>
      <c r="G4" s="20"/>
      <c r="H4" s="2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4"/>
      <c r="AE4" s="4"/>
      <c r="AF4" s="4"/>
      <c r="AG4" s="4"/>
    </row>
    <row r="5" spans="1:33" ht="408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/>
      <c r="AE5" s="4"/>
      <c r="AF5" s="4"/>
      <c r="AG5" s="4"/>
    </row>
    <row r="6" spans="1:33" ht="322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4"/>
      <c r="AE6" s="4"/>
      <c r="AF6" s="4"/>
      <c r="AG6" s="4"/>
    </row>
    <row r="7" spans="1:33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4"/>
      <c r="AE7" s="4"/>
      <c r="AF7" s="4"/>
      <c r="AG7" s="4"/>
    </row>
    <row r="8" spans="1:33" ht="34.5" customHeight="1">
      <c r="A8" s="1"/>
      <c r="B8" s="66" t="s">
        <v>58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24.75" customHeight="1">
      <c r="A9" s="1"/>
      <c r="B9" s="23" t="s">
        <v>59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34.5" customHeight="1">
      <c r="A10" s="24"/>
      <c r="B10" s="25" t="s">
        <v>9</v>
      </c>
      <c r="C10" s="25" t="s">
        <v>10</v>
      </c>
      <c r="D10" s="26" t="s">
        <v>11</v>
      </c>
      <c r="E10" s="26" t="s">
        <v>12</v>
      </c>
      <c r="F10" s="27" t="s">
        <v>13</v>
      </c>
      <c r="G10" s="25" t="s">
        <v>14</v>
      </c>
      <c r="H10" s="25" t="s">
        <v>15</v>
      </c>
      <c r="I10" s="25" t="s">
        <v>16</v>
      </c>
      <c r="J10" s="24"/>
      <c r="K10" s="25" t="s">
        <v>14</v>
      </c>
      <c r="L10" s="24"/>
      <c r="M10" s="25" t="s">
        <v>15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 spans="1:33" ht="22.5" customHeight="1">
      <c r="A11" s="24"/>
      <c r="B11" s="28" t="s">
        <v>60</v>
      </c>
      <c r="C11" s="29"/>
      <c r="D11" s="30"/>
      <c r="E11" s="30"/>
      <c r="F11" s="31">
        <f t="shared" ref="F11:F30" si="0">IF(D11=0,0,E11-D11)</f>
        <v>0</v>
      </c>
      <c r="G11" s="29"/>
      <c r="H11" s="29"/>
      <c r="I11" s="29"/>
      <c r="J11" s="32"/>
      <c r="K11" s="33" t="s">
        <v>20</v>
      </c>
      <c r="L11" s="24"/>
      <c r="M11" s="34" t="s">
        <v>19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</row>
    <row r="12" spans="1:33" ht="22.5" customHeight="1">
      <c r="A12" s="24"/>
      <c r="B12" s="28" t="s">
        <v>61</v>
      </c>
      <c r="C12" s="35"/>
      <c r="D12" s="36"/>
      <c r="E12" s="36"/>
      <c r="F12" s="31">
        <f t="shared" si="0"/>
        <v>0</v>
      </c>
      <c r="G12" s="28"/>
      <c r="H12" s="28"/>
      <c r="I12" s="29"/>
      <c r="J12" s="32"/>
      <c r="K12" s="28" t="s">
        <v>24</v>
      </c>
      <c r="L12" s="24"/>
      <c r="M12" s="37" t="s">
        <v>23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</row>
    <row r="13" spans="1:33" ht="22.5" customHeight="1">
      <c r="A13" s="24"/>
      <c r="B13" s="28" t="s">
        <v>62</v>
      </c>
      <c r="C13" s="35"/>
      <c r="D13" s="36"/>
      <c r="E13" s="36"/>
      <c r="F13" s="31">
        <f t="shared" si="0"/>
        <v>0</v>
      </c>
      <c r="G13" s="28"/>
      <c r="H13" s="28"/>
      <c r="I13" s="29"/>
      <c r="J13" s="32"/>
      <c r="K13" s="28" t="s">
        <v>22</v>
      </c>
      <c r="L13" s="24"/>
      <c r="M13" s="38" t="s">
        <v>26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</row>
    <row r="14" spans="1:33" ht="22.5" customHeight="1">
      <c r="A14" s="24"/>
      <c r="B14" s="28" t="s">
        <v>63</v>
      </c>
      <c r="C14" s="39"/>
      <c r="D14" s="36"/>
      <c r="E14" s="36"/>
      <c r="F14" s="31">
        <f t="shared" si="0"/>
        <v>0</v>
      </c>
      <c r="G14" s="28"/>
      <c r="H14" s="28"/>
      <c r="I14" s="29"/>
      <c r="J14" s="32"/>
      <c r="K14" s="39" t="s">
        <v>18</v>
      </c>
      <c r="L14" s="24"/>
      <c r="M14" s="39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</row>
    <row r="15" spans="1:33" ht="22.5" customHeight="1">
      <c r="A15" s="24"/>
      <c r="B15" s="28" t="s">
        <v>64</v>
      </c>
      <c r="C15" s="35"/>
      <c r="D15" s="36"/>
      <c r="E15" s="36"/>
      <c r="F15" s="31">
        <f t="shared" si="0"/>
        <v>0</v>
      </c>
      <c r="G15" s="28"/>
      <c r="H15" s="28"/>
      <c r="I15" s="29"/>
      <c r="J15" s="24"/>
      <c r="K15" s="39" t="s">
        <v>29</v>
      </c>
      <c r="L15" s="24"/>
      <c r="M15" s="1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</row>
    <row r="16" spans="1:33" ht="22.5" customHeight="1">
      <c r="A16" s="24"/>
      <c r="B16" s="28" t="s">
        <v>65</v>
      </c>
      <c r="C16" s="35"/>
      <c r="D16" s="36"/>
      <c r="E16" s="36"/>
      <c r="F16" s="31">
        <f t="shared" si="0"/>
        <v>0</v>
      </c>
      <c r="G16" s="28"/>
      <c r="H16" s="28"/>
      <c r="I16" s="29"/>
      <c r="J16" s="24"/>
      <c r="K16" s="1"/>
      <c r="L16" s="24"/>
      <c r="M16" s="1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 spans="1:33" ht="22.5" customHeight="1">
      <c r="A17" s="24"/>
      <c r="B17" s="28" t="s">
        <v>66</v>
      </c>
      <c r="C17" s="40"/>
      <c r="D17" s="36"/>
      <c r="E17" s="30"/>
      <c r="F17" s="31">
        <f t="shared" si="0"/>
        <v>0</v>
      </c>
      <c r="G17" s="28"/>
      <c r="H17" s="28"/>
      <c r="I17" s="29"/>
      <c r="J17" s="24"/>
      <c r="K17" s="1"/>
      <c r="L17" s="24"/>
      <c r="M17" s="1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</row>
    <row r="18" spans="1:33" ht="22.5" customHeight="1">
      <c r="A18" s="24"/>
      <c r="B18" s="28" t="s">
        <v>67</v>
      </c>
      <c r="C18" s="40"/>
      <c r="D18" s="36"/>
      <c r="E18" s="30"/>
      <c r="F18" s="31">
        <f t="shared" si="0"/>
        <v>0</v>
      </c>
      <c r="G18" s="28"/>
      <c r="H18" s="28"/>
      <c r="I18" s="29"/>
      <c r="J18" s="24"/>
      <c r="K18" s="1"/>
      <c r="L18" s="24"/>
      <c r="M18" s="1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</row>
    <row r="19" spans="1:33" ht="22.5" customHeight="1">
      <c r="A19" s="24"/>
      <c r="B19" s="28" t="s">
        <v>68</v>
      </c>
      <c r="C19" s="40"/>
      <c r="D19" s="36"/>
      <c r="E19" s="30"/>
      <c r="F19" s="31">
        <f t="shared" si="0"/>
        <v>0</v>
      </c>
      <c r="G19" s="28"/>
      <c r="H19" s="28"/>
      <c r="I19" s="29"/>
      <c r="J19" s="24"/>
      <c r="K19" s="1"/>
      <c r="L19" s="24"/>
      <c r="M19" s="1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</row>
    <row r="20" spans="1:33" ht="22.5" customHeight="1">
      <c r="A20" s="24"/>
      <c r="B20" s="28" t="s">
        <v>69</v>
      </c>
      <c r="C20" s="40"/>
      <c r="D20" s="36"/>
      <c r="E20" s="30"/>
      <c r="F20" s="31">
        <f t="shared" si="0"/>
        <v>0</v>
      </c>
      <c r="G20" s="28"/>
      <c r="H20" s="28"/>
      <c r="I20" s="29"/>
      <c r="J20" s="24"/>
      <c r="K20" s="1"/>
      <c r="L20" s="24"/>
      <c r="M20" s="1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</row>
    <row r="21" spans="1:33" ht="22.5" customHeight="1">
      <c r="A21" s="24"/>
      <c r="B21" s="28" t="s">
        <v>70</v>
      </c>
      <c r="C21" s="40"/>
      <c r="D21" s="36"/>
      <c r="E21" s="30"/>
      <c r="F21" s="31">
        <f t="shared" si="0"/>
        <v>0</v>
      </c>
      <c r="G21" s="28"/>
      <c r="H21" s="28"/>
      <c r="I21" s="29"/>
      <c r="J21" s="24"/>
      <c r="K21" s="1"/>
      <c r="L21" s="24"/>
      <c r="M21" s="1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</row>
    <row r="22" spans="1:33" ht="22.5" customHeight="1">
      <c r="A22" s="24"/>
      <c r="B22" s="28" t="s">
        <v>71</v>
      </c>
      <c r="C22" s="40"/>
      <c r="D22" s="36"/>
      <c r="E22" s="30"/>
      <c r="F22" s="31">
        <f t="shared" si="0"/>
        <v>0</v>
      </c>
      <c r="G22" s="28"/>
      <c r="H22" s="28"/>
      <c r="I22" s="29"/>
      <c r="J22" s="24"/>
      <c r="K22" s="1"/>
      <c r="L22" s="24"/>
      <c r="M22" s="1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</row>
    <row r="23" spans="1:33" ht="22.5" customHeight="1">
      <c r="A23" s="24"/>
      <c r="B23" s="28" t="s">
        <v>72</v>
      </c>
      <c r="C23" s="40"/>
      <c r="D23" s="36"/>
      <c r="E23" s="30"/>
      <c r="F23" s="31">
        <f t="shared" si="0"/>
        <v>0</v>
      </c>
      <c r="G23" s="28"/>
      <c r="H23" s="28"/>
      <c r="I23" s="29"/>
      <c r="J23" s="24"/>
      <c r="K23" s="1"/>
      <c r="L23" s="1"/>
      <c r="M23" s="1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</row>
    <row r="24" spans="1:33" ht="22.5" customHeight="1">
      <c r="A24" s="24"/>
      <c r="B24" s="28" t="s">
        <v>73</v>
      </c>
      <c r="C24" s="40"/>
      <c r="D24" s="36"/>
      <c r="E24" s="30"/>
      <c r="F24" s="31">
        <f t="shared" si="0"/>
        <v>0</v>
      </c>
      <c r="G24" s="28"/>
      <c r="H24" s="28"/>
      <c r="I24" s="29"/>
      <c r="J24" s="24"/>
      <c r="K24" s="1"/>
      <c r="L24" s="1"/>
      <c r="M24" s="1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</row>
    <row r="25" spans="1:33" ht="22.5" customHeight="1">
      <c r="A25" s="24"/>
      <c r="B25" s="28" t="s">
        <v>74</v>
      </c>
      <c r="C25" s="39"/>
      <c r="D25" s="36"/>
      <c r="E25" s="30"/>
      <c r="F25" s="31">
        <f t="shared" si="0"/>
        <v>0</v>
      </c>
      <c r="G25" s="28"/>
      <c r="H25" s="28"/>
      <c r="I25" s="29"/>
      <c r="J25" s="24"/>
      <c r="K25" s="1"/>
      <c r="L25" s="1"/>
      <c r="M25" s="1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</row>
    <row r="26" spans="1:33" ht="22.5" customHeight="1">
      <c r="A26" s="24"/>
      <c r="B26" s="28" t="s">
        <v>75</v>
      </c>
      <c r="C26" s="39"/>
      <c r="D26" s="36"/>
      <c r="E26" s="30"/>
      <c r="F26" s="31">
        <f t="shared" si="0"/>
        <v>0</v>
      </c>
      <c r="G26" s="28"/>
      <c r="H26" s="28"/>
      <c r="I26" s="29"/>
      <c r="J26" s="24"/>
      <c r="K26" s="1"/>
      <c r="L26" s="1"/>
      <c r="M26" s="1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</row>
    <row r="27" spans="1:33" ht="22.5" customHeight="1">
      <c r="A27" s="24"/>
      <c r="B27" s="28" t="s">
        <v>76</v>
      </c>
      <c r="C27" s="39"/>
      <c r="D27" s="36"/>
      <c r="E27" s="30"/>
      <c r="F27" s="31">
        <f t="shared" si="0"/>
        <v>0</v>
      </c>
      <c r="G27" s="28"/>
      <c r="H27" s="28"/>
      <c r="I27" s="29"/>
      <c r="J27" s="24"/>
      <c r="K27" s="1"/>
      <c r="L27" s="1"/>
      <c r="M27" s="1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</row>
    <row r="28" spans="1:33" ht="22.5" customHeight="1">
      <c r="A28" s="24"/>
      <c r="B28" s="28" t="s">
        <v>77</v>
      </c>
      <c r="C28" s="39"/>
      <c r="D28" s="36"/>
      <c r="E28" s="30"/>
      <c r="F28" s="31">
        <f t="shared" si="0"/>
        <v>0</v>
      </c>
      <c r="G28" s="28"/>
      <c r="H28" s="28"/>
      <c r="I28" s="29"/>
      <c r="J28" s="24"/>
      <c r="K28" s="1"/>
      <c r="L28" s="1"/>
      <c r="M28" s="1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</row>
    <row r="29" spans="1:33" ht="22.5" customHeight="1">
      <c r="A29" s="24"/>
      <c r="B29" s="28" t="s">
        <v>78</v>
      </c>
      <c r="C29" s="39"/>
      <c r="D29" s="36"/>
      <c r="E29" s="30"/>
      <c r="F29" s="31">
        <f t="shared" si="0"/>
        <v>0</v>
      </c>
      <c r="G29" s="28"/>
      <c r="H29" s="28"/>
      <c r="I29" s="29"/>
      <c r="J29" s="24"/>
      <c r="K29" s="1"/>
      <c r="L29" s="1"/>
      <c r="M29" s="1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</row>
    <row r="30" spans="1:33" ht="22.5" customHeight="1">
      <c r="A30" s="24"/>
      <c r="B30" s="28" t="s">
        <v>79</v>
      </c>
      <c r="C30" s="39"/>
      <c r="D30" s="36"/>
      <c r="E30" s="30"/>
      <c r="F30" s="31">
        <f t="shared" si="0"/>
        <v>0</v>
      </c>
      <c r="G30" s="28"/>
      <c r="H30" s="28"/>
      <c r="I30" s="29"/>
      <c r="J30" s="24"/>
      <c r="K30" s="1"/>
      <c r="L30" s="1"/>
      <c r="M30" s="1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</row>
    <row r="31" spans="1:33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24.75" customHeight="1">
      <c r="A32" s="1"/>
      <c r="B32" s="23" t="s">
        <v>37</v>
      </c>
      <c r="C32" s="1"/>
      <c r="D32" s="1"/>
      <c r="E32" s="1"/>
      <c r="F32" s="23" t="s">
        <v>38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22.5" customHeight="1">
      <c r="A33" s="41"/>
      <c r="B33" s="42" t="s">
        <v>80</v>
      </c>
      <c r="C33" s="43" t="s">
        <v>39</v>
      </c>
      <c r="D33" s="43" t="s">
        <v>40</v>
      </c>
      <c r="E33" s="41"/>
      <c r="F33" s="44" t="s">
        <v>41</v>
      </c>
      <c r="G33" s="45">
        <v>0</v>
      </c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</row>
    <row r="34" spans="1:33" ht="22.5" customHeight="1">
      <c r="A34" s="41"/>
      <c r="B34" s="46" t="s">
        <v>42</v>
      </c>
      <c r="C34" s="47">
        <f>COUNTIF(G11:G30, "Not Started")</f>
        <v>0</v>
      </c>
      <c r="D34" s="48" t="str">
        <f>IFERROR(C34/C39,"")</f>
        <v/>
      </c>
      <c r="E34" s="41"/>
      <c r="F34" s="49" t="s">
        <v>43</v>
      </c>
      <c r="G34" s="50">
        <v>0</v>
      </c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</row>
    <row r="35" spans="1:33" ht="22.5" customHeight="1">
      <c r="A35" s="41"/>
      <c r="B35" s="51" t="s">
        <v>44</v>
      </c>
      <c r="C35" s="47">
        <f>COUNTIF(G11:G30, "In Progress")</f>
        <v>0</v>
      </c>
      <c r="D35" s="48" t="str">
        <f>IFERROR(C35/C39,"")</f>
        <v/>
      </c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</row>
    <row r="36" spans="1:33" ht="22.5" customHeight="1">
      <c r="A36" s="41"/>
      <c r="B36" s="52" t="s">
        <v>45</v>
      </c>
      <c r="C36" s="47">
        <f>COUNTIF(G11:G30, "Complete")</f>
        <v>0</v>
      </c>
      <c r="D36" s="48" t="str">
        <f>IFERROR(C36/C39,"")</f>
        <v/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</row>
    <row r="37" spans="1:33" ht="22.5" customHeight="1">
      <c r="A37" s="41"/>
      <c r="B37" s="53" t="s">
        <v>46</v>
      </c>
      <c r="C37" s="47">
        <f>COUNTIF(G11:G30, "Overdue")</f>
        <v>0</v>
      </c>
      <c r="D37" s="48" t="str">
        <f>IFERROR(C37/C39,"")</f>
        <v/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</row>
    <row r="38" spans="1:33" ht="22.5" customHeight="1">
      <c r="A38" s="41"/>
      <c r="B38" s="54" t="s">
        <v>47</v>
      </c>
      <c r="C38" s="55">
        <f>COUNTIF(G11:G30, "On Hold")</f>
        <v>0</v>
      </c>
      <c r="D38" s="56" t="str">
        <f>IFERROR(C38/C39,"")</f>
        <v/>
      </c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</row>
    <row r="39" spans="1:33" ht="22.5" customHeight="1">
      <c r="A39" s="41"/>
      <c r="B39" s="57" t="s">
        <v>55</v>
      </c>
      <c r="C39" s="58">
        <f t="shared" ref="C39:D39" si="1">SUM(C34:C38)</f>
        <v>0</v>
      </c>
      <c r="D39" s="59">
        <f t="shared" si="1"/>
        <v>0</v>
      </c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</row>
    <row r="40" spans="1:33" ht="12.75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</row>
    <row r="41" spans="1:33" ht="24.75" customHeight="1">
      <c r="A41" s="1"/>
      <c r="B41" s="23" t="s">
        <v>49</v>
      </c>
      <c r="C41" s="5" t="s">
        <v>81</v>
      </c>
      <c r="D41" s="1"/>
      <c r="E41" s="1"/>
      <c r="F41" s="60" t="s">
        <v>82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22.5" customHeight="1">
      <c r="A42" s="41"/>
      <c r="B42" s="42" t="s">
        <v>83</v>
      </c>
      <c r="C42" s="43" t="s">
        <v>39</v>
      </c>
      <c r="D42" s="43" t="s">
        <v>40</v>
      </c>
      <c r="E42" s="41"/>
      <c r="F42" s="61" t="s">
        <v>52</v>
      </c>
      <c r="G42" s="45">
        <v>0</v>
      </c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</row>
    <row r="43" spans="1:33" ht="22.5" customHeight="1">
      <c r="A43" s="41"/>
      <c r="B43" s="34" t="s">
        <v>19</v>
      </c>
      <c r="C43" s="47">
        <f>COUNTIF(H11:H30, "High")</f>
        <v>0</v>
      </c>
      <c r="D43" s="48" t="str">
        <f>IFERROR(C43/C47,"")</f>
        <v/>
      </c>
      <c r="E43" s="41"/>
      <c r="F43" s="62" t="s">
        <v>53</v>
      </c>
      <c r="G43" s="45">
        <v>0</v>
      </c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</row>
    <row r="44" spans="1:33" ht="22.5" customHeight="1">
      <c r="A44" s="41"/>
      <c r="B44" s="37" t="s">
        <v>23</v>
      </c>
      <c r="C44" s="47">
        <f>COUNTIF(H11:H30, "Medium")</f>
        <v>0</v>
      </c>
      <c r="D44" s="48" t="str">
        <f>IFERROR(C44/C47,"")</f>
        <v/>
      </c>
      <c r="E44" s="41"/>
      <c r="F44" s="63" t="s">
        <v>54</v>
      </c>
      <c r="G44" s="45">
        <v>0</v>
      </c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</row>
    <row r="45" spans="1:33" ht="22.5" customHeight="1">
      <c r="A45" s="41"/>
      <c r="B45" s="38" t="s">
        <v>26</v>
      </c>
      <c r="C45" s="47">
        <f>COUNTIF(H11:H30, "Low")</f>
        <v>0</v>
      </c>
      <c r="D45" s="48" t="str">
        <f>IFERROR(C45/C47,"")</f>
        <v/>
      </c>
      <c r="E45" s="41"/>
      <c r="F45" s="1"/>
      <c r="G45" s="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</row>
    <row r="46" spans="1:33" ht="22.5" customHeight="1">
      <c r="A46" s="41"/>
      <c r="B46" s="64"/>
      <c r="C46" s="55">
        <f>COUNTIF(H11:H30, "...")</f>
        <v>0</v>
      </c>
      <c r="D46" s="56" t="str">
        <f>IFERROR(C46/C47,"")</f>
        <v/>
      </c>
      <c r="E46" s="41"/>
      <c r="F46" s="1"/>
      <c r="G46" s="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</row>
    <row r="47" spans="1:33" ht="22.5" customHeight="1">
      <c r="A47" s="41"/>
      <c r="B47" s="57" t="s">
        <v>55</v>
      </c>
      <c r="C47" s="58">
        <f t="shared" ref="C47:D47" si="2">SUM(C43:C46)</f>
        <v>0</v>
      </c>
      <c r="D47" s="59">
        <f t="shared" si="2"/>
        <v>0</v>
      </c>
      <c r="E47" s="41"/>
      <c r="F47" s="1"/>
      <c r="G47" s="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</row>
    <row r="48" spans="1:33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spans="1:33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spans="1:33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spans="1:33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spans="1:33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spans="1:33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spans="1:33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spans="1:33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spans="1:3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spans="1:33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spans="1:33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spans="1:33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spans="1:33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spans="1:33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spans="1:33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spans="1:33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spans="1:33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spans="1:33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spans="1:3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spans="1:33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spans="1:33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spans="1:33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spans="1:33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spans="1:33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spans="1:33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spans="1:33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spans="1:33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spans="1:33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spans="1:3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spans="1:33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spans="1:33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spans="1:33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spans="1:33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spans="1:33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spans="1:33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spans="1:33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spans="1:33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spans="1:33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spans="1:3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spans="1:33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spans="1:33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spans="1:33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spans="1:33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spans="1:33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spans="1:33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spans="1:33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spans="1:33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spans="1:33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spans="1:3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spans="1:33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spans="1:33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spans="1:33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spans="1:33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spans="1:33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spans="1:33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spans="1:33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spans="1:33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spans="1:33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spans="1:3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spans="1:33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spans="1:33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spans="1:33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spans="1:33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spans="1:33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spans="1:33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spans="1:33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spans="1:33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spans="1:33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spans="1:3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spans="1:33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spans="1:33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spans="1:33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spans="1:33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spans="1:33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spans="1:33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spans="1:33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spans="1:33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spans="1:33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spans="1:3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spans="1:33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spans="1:33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spans="1:33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spans="1:33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spans="1:33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spans="1:33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spans="1:33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spans="1:33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spans="1:33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spans="1:3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spans="1:33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spans="1:33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spans="1:33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spans="1:33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spans="1:33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spans="1:33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spans="1:33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spans="1:33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spans="1:33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spans="1: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spans="1:33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spans="1:33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spans="1:33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spans="1:33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spans="1:33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spans="1:33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spans="1:33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spans="1:33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spans="1:33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spans="1:3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spans="1:33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spans="1:33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spans="1:33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spans="1:33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spans="1:33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spans="1:33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spans="1:33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spans="1:33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spans="1:33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spans="1:3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spans="1:33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spans="1:33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spans="1:33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spans="1:33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spans="1:33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spans="1:33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spans="1:33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spans="1:33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spans="1:33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spans="1:3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spans="1:33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spans="1:33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spans="1:33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spans="1:33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spans="1:33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spans="1:33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spans="1:33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spans="1:33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spans="1:33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spans="1:3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spans="1:33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spans="1:33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spans="1:33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spans="1:33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spans="1:33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spans="1:33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spans="1:33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spans="1:33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spans="1:33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spans="1:3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spans="1:33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spans="1:33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spans="1:33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spans="1:33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spans="1:33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spans="1:33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spans="1:33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spans="1:33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spans="1:33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spans="1:3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spans="1:33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spans="1:33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spans="1:33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spans="1:33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spans="1:33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spans="1:33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spans="1:33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spans="1:33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spans="1:33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spans="1:3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spans="1:33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spans="1:33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spans="1:33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spans="1:33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spans="1:33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spans="1:33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spans="1:33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spans="1:33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spans="1:33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spans="1:3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spans="1:33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spans="1:33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spans="1:33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spans="1:33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spans="1:33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spans="1:33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spans="1:33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spans="1:33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spans="1:33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spans="1:3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spans="1:33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spans="1:33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spans="1:33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spans="1:33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spans="1:33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spans="1:33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spans="1:33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spans="1:33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spans="1:33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spans="1: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spans="1:33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spans="1:33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spans="1:33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spans="1:33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spans="1:33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spans="1:33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spans="1:33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spans="1:33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spans="1:33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spans="1:3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spans="1:33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spans="1:33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spans="1:33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spans="1:33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spans="1:33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spans="1:33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spans="1:33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spans="1:33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spans="1:33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spans="1:3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spans="1:33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spans="1:33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spans="1:33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spans="1:33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spans="1:33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spans="1:33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spans="1:33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spans="1:33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spans="1:33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spans="1:3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spans="1:33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spans="1:33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spans="1:33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spans="1:33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spans="1:33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spans="1:33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spans="1:33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spans="1:33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spans="1:33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spans="1:3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spans="1:33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spans="1:33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spans="1:33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spans="1:33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spans="1:33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spans="1:33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spans="1:33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spans="1:33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spans="1:33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spans="1:3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spans="1:33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spans="1:33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spans="1:33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spans="1:33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spans="1:33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spans="1:33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spans="1:33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spans="1:33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spans="1:33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spans="1:3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spans="1:33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spans="1:33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spans="1:33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spans="1:33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spans="1:33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spans="1:33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spans="1:33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spans="1:33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spans="1:33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spans="1:3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spans="1:33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spans="1:33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spans="1:33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spans="1:33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spans="1:33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spans="1:33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spans="1:33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spans="1:33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spans="1:33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spans="1:3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spans="1:33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spans="1:33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spans="1:33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spans="1:33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spans="1:33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spans="1:33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spans="1:33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spans="1:33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spans="1:33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spans="1:3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spans="1:33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spans="1:33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spans="1:33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spans="1:33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spans="1:33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spans="1:33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spans="1:33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spans="1:33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spans="1:33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spans="1: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spans="1:33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spans="1:33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spans="1:33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spans="1:33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spans="1:33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spans="1:33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spans="1:33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spans="1:33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spans="1:33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spans="1:3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spans="1:33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spans="1:33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spans="1:33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spans="1:33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spans="1:33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spans="1:33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spans="1:33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spans="1:33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spans="1:33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spans="1:3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spans="1:33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spans="1:33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spans="1:33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spans="1:33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spans="1:33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spans="1:33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spans="1:33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spans="1:33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spans="1:33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spans="1:3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spans="1:33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spans="1:33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spans="1:33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spans="1:33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spans="1:33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spans="1:33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spans="1:33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spans="1:33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spans="1:33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spans="1:3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spans="1:33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spans="1:33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spans="1:33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spans="1:33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spans="1:33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spans="1:33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spans="1:33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spans="1:33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spans="1:33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spans="1:3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spans="1:33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spans="1:33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spans="1:33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spans="1:33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spans="1:33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spans="1:33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spans="1:33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spans="1:33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spans="1:33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spans="1:3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spans="1:33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spans="1:33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spans="1:33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spans="1:33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spans="1:33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spans="1:33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spans="1:33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spans="1:33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spans="1:33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spans="1:3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spans="1:33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spans="1:33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spans="1:33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spans="1:33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spans="1:33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spans="1:33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spans="1:33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spans="1:33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spans="1:33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spans="1:3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spans="1:33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spans="1:33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spans="1:33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spans="1:33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spans="1:33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spans="1:33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spans="1:33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spans="1:33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spans="1:33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spans="1:3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spans="1:33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spans="1:33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spans="1:33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spans="1:33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spans="1:33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spans="1:33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spans="1:33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spans="1:33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spans="1:33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spans="1: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spans="1:33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spans="1:33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spans="1:33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spans="1:33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spans="1:33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spans="1:33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spans="1:33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spans="1:33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spans="1:33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spans="1:3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spans="1:33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spans="1:33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spans="1:33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spans="1:33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spans="1:33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spans="1:33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spans="1:33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spans="1:33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spans="1:33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spans="1:3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spans="1:33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spans="1:33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spans="1:33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spans="1:33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spans="1:33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spans="1:33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spans="1:33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spans="1:33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spans="1:33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spans="1:3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spans="1:33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spans="1:33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spans="1:33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spans="1:33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spans="1:33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spans="1:33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spans="1:33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spans="1:33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spans="1:33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spans="1:3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spans="1:33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spans="1:33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spans="1:33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spans="1:33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spans="1:33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spans="1:33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spans="1:33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spans="1:33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spans="1:33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spans="1:3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spans="1:33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spans="1:33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spans="1:33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spans="1:33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spans="1:33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spans="1:33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spans="1:33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spans="1:33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spans="1:33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spans="1:3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spans="1:33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spans="1:33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spans="1:33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spans="1:33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spans="1:33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spans="1:33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spans="1:33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spans="1:33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spans="1:33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spans="1:3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spans="1:33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spans="1:33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spans="1:33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spans="1:33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spans="1:33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spans="1:33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spans="1:33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spans="1:33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spans="1:33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spans="1:3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spans="1:33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spans="1:33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spans="1:33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spans="1:33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spans="1:33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spans="1:33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spans="1:33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spans="1:33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spans="1:33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spans="1:3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spans="1:33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spans="1:33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spans="1:33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spans="1:33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spans="1:33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spans="1:33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spans="1:33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spans="1:33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spans="1:33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spans="1: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spans="1:33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spans="1:33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spans="1:33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spans="1:33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spans="1:33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spans="1:33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spans="1:33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spans="1:33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spans="1:33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spans="1:3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spans="1:33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spans="1:33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spans="1:33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spans="1:33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spans="1:33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spans="1:33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spans="1:33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spans="1:33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spans="1:33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spans="1:3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spans="1:33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spans="1:33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spans="1:33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spans="1:33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spans="1:33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spans="1:33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spans="1:33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spans="1:33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spans="1:33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spans="1:3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spans="1:33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spans="1:33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spans="1:33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spans="1:33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spans="1:33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spans="1:33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spans="1:33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spans="1:33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spans="1:33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spans="1:3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spans="1:33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spans="1:33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spans="1:33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spans="1:33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spans="1:33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spans="1:33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spans="1:33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spans="1:33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spans="1:33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spans="1:3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spans="1:33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spans="1:33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spans="1:33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spans="1:33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spans="1:33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spans="1:33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spans="1:33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spans="1:33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spans="1:33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spans="1:3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spans="1:33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spans="1:33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spans="1:33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spans="1:33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spans="1:33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spans="1:33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spans="1:33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spans="1:33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spans="1:33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spans="1:3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spans="1:33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spans="1:33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spans="1:33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spans="1:33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spans="1:33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spans="1:33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spans="1:33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spans="1:33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spans="1:33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spans="1:3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spans="1:33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spans="1:33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spans="1:33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spans="1:33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spans="1:33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spans="1:33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spans="1:33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spans="1:33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spans="1:33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spans="1:3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spans="1:33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spans="1:33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spans="1:33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spans="1:33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spans="1:33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spans="1:33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spans="1:33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spans="1:33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spans="1:33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spans="1: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spans="1:33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spans="1:33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spans="1:33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spans="1:33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spans="1:33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spans="1:33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spans="1:33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spans="1:33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spans="1:33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spans="1:3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spans="1:33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spans="1:33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spans="1:33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spans="1:33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spans="1:33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spans="1:33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spans="1:33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spans="1:33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spans="1:33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spans="1:3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spans="1:33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spans="1:33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spans="1:33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spans="1:33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spans="1:33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spans="1:33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spans="1:33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spans="1:33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spans="1:33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spans="1:3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spans="1:33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spans="1:33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spans="1:33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spans="1:33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spans="1:33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spans="1:33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spans="1:33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spans="1:33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spans="1:33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spans="1:3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spans="1:33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spans="1:33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spans="1:33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spans="1:33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spans="1:33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spans="1:33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spans="1:33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spans="1:33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spans="1:33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spans="1:3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spans="1:33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spans="1:33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spans="1:33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spans="1:33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spans="1:33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spans="1:33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 spans="1:33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 spans="1:33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 spans="1:33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 spans="1:3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 spans="1:33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 spans="1:33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 spans="1:33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 spans="1:33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 spans="1:33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 spans="1:33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 spans="1:33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</sheetData>
  <conditionalFormatting sqref="B34:B38">
    <cfRule type="containsText" dxfId="15" priority="20" operator="containsText" text="Overdue">
      <formula>NOT(ISERROR(SEARCH(("Overdue"),(B34))))</formula>
    </cfRule>
    <cfRule type="containsText" dxfId="14" priority="21" operator="containsText" text="On Hold">
      <formula>NOT(ISERROR(SEARCH(("On Hold"),(B34))))</formula>
    </cfRule>
    <cfRule type="containsText" dxfId="13" priority="22" operator="containsText" text="Complete">
      <formula>NOT(ISERROR(SEARCH(("Complete"),(B34))))</formula>
    </cfRule>
    <cfRule type="containsText" dxfId="12" priority="23" operator="containsText" text="In Progress">
      <formula>NOT(ISERROR(SEARCH(("In Progress"),(B34))))</formula>
    </cfRule>
    <cfRule type="containsText" dxfId="11" priority="24" operator="containsText" text="Not Started">
      <formula>NOT(ISERROR(SEARCH(("Not Started"),(B34))))</formula>
    </cfRule>
  </conditionalFormatting>
  <conditionalFormatting sqref="B43:B46">
    <cfRule type="containsText" dxfId="10" priority="9" operator="containsText" text="Low">
      <formula>NOT(ISERROR(SEARCH(("Low"),(B43))))</formula>
    </cfRule>
    <cfRule type="containsText" dxfId="9" priority="10" operator="containsText" text="Medium">
      <formula>NOT(ISERROR(SEARCH(("Medium"),(B43))))</formula>
    </cfRule>
    <cfRule type="containsText" dxfId="8" priority="11" operator="containsText" text="High">
      <formula>NOT(ISERROR(SEARCH(("High"),(B43))))</formula>
    </cfRule>
  </conditionalFormatting>
  <conditionalFormatting sqref="K11:K15 G11:G30">
    <cfRule type="containsText" dxfId="7" priority="1" operator="containsText" text="Overdue">
      <formula>NOT(ISERROR(SEARCH(("Overdue"),(G11))))</formula>
    </cfRule>
    <cfRule type="containsText" dxfId="6" priority="2" operator="containsText" text="On Hold">
      <formula>NOT(ISERROR(SEARCH(("On Hold"),(G11))))</formula>
    </cfRule>
    <cfRule type="containsText" dxfId="5" priority="3" operator="containsText" text="Complete">
      <formula>NOT(ISERROR(SEARCH(("Complete"),(G11))))</formula>
    </cfRule>
    <cfRule type="containsText" dxfId="4" priority="4" operator="containsText" text="In Progress">
      <formula>NOT(ISERROR(SEARCH(("In Progress"),(G11))))</formula>
    </cfRule>
    <cfRule type="containsText" dxfId="3" priority="5" operator="containsText" text="Not Started">
      <formula>NOT(ISERROR(SEARCH(("Not Started"),(G11))))</formula>
    </cfRule>
  </conditionalFormatting>
  <conditionalFormatting sqref="M11:M14 H11:H30">
    <cfRule type="containsText" dxfId="2" priority="6" operator="containsText" text="Low">
      <formula>NOT(ISERROR(SEARCH(("Low"),(H11))))</formula>
    </cfRule>
    <cfRule type="containsText" dxfId="1" priority="7" operator="containsText" text="Medium">
      <formula>NOT(ISERROR(SEARCH(("Medium"),(H11))))</formula>
    </cfRule>
    <cfRule type="containsText" dxfId="0" priority="8" operator="containsText" text="High">
      <formula>NOT(ISERROR(SEARCH(("High"),(H11))))</formula>
    </cfRule>
  </conditionalFormatting>
  <dataValidations count="2">
    <dataValidation type="list" allowBlank="1" showErrorMessage="1" sqref="H11:H30" xr:uid="{00000000-0002-0000-0200-000000000000}">
      <formula1>$M$11:$M$14</formula1>
    </dataValidation>
    <dataValidation type="list" allowBlank="1" showErrorMessage="1" sqref="G11:G30" xr:uid="{00000000-0002-0000-0200-000001000000}">
      <formula1>$K$11:$K$15</formula1>
    </dataValidation>
  </dataValidations>
  <pageMargins left="0.3" right="0.3" top="0.3" bottom="0.3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VD MẪU DASHBOARD BÁO CÁO DỰ ÁN</vt:lpstr>
      <vt:lpstr>MẪU DASHBOARD BÁO CÁO DỰ 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Nguyễn Mạnh Tuấn</cp:lastModifiedBy>
  <dcterms:created xsi:type="dcterms:W3CDTF">2015-02-24T20:54:23Z</dcterms:created>
  <dcterms:modified xsi:type="dcterms:W3CDTF">2025-03-14T07:58:22Z</dcterms:modified>
</cp:coreProperties>
</file>